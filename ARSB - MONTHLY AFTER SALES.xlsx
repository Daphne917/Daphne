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AUTO RAYA ACC\!!TO DO\2. AFTER SALES REPORT\"/>
    </mc:Choice>
  </mc:AlternateContent>
  <xr:revisionPtr revIDLastSave="0" documentId="13_ncr:1_{7BA4EF1C-4BBE-48A4-A045-7E216D20CE05}" xr6:coauthVersionLast="47" xr6:coauthVersionMax="47" xr10:uidLastSave="{00000000-0000-0000-0000-000000000000}"/>
  <bookViews>
    <workbookView xWindow="-120" yWindow="-120" windowWidth="29040" windowHeight="15720" activeTab="7" xr2:uid="{E5EA6E22-A9AE-4EE8-9723-7B698E6AD0E4}"/>
  </bookViews>
  <sheets>
    <sheet name="2024" sheetId="4" r:id="rId1"/>
    <sheet name="MITS 2023" sheetId="14" state="hidden" r:id="rId2"/>
    <sheet name="MITS 2024" sheetId="6" state="hidden" r:id="rId3"/>
    <sheet name="HINO 2024" sheetId="5" state="hidden" r:id="rId4"/>
    <sheet name="FUSO 2024" sheetId="7" state="hidden" r:id="rId5"/>
    <sheet name="FUSO WC 2024" sheetId="8" state="hidden" r:id="rId6"/>
    <sheet name="2025" sheetId="3" r:id="rId7"/>
    <sheet name="2026" sheetId="15" r:id="rId8"/>
    <sheet name="MITSUBISHI MEETING" sheetId="13" state="hidden" r:id="rId9"/>
    <sheet name="HINO 2025" sheetId="10" state="hidden" r:id="rId10"/>
    <sheet name="SERVICE 2026" sheetId="20" state="hidden" r:id="rId11"/>
    <sheet name="HINO 2026" sheetId="17" state="hidden" r:id="rId12"/>
    <sheet name="MITS 2025" sheetId="9" state="hidden" r:id="rId13"/>
    <sheet name="MITS 2026" sheetId="16" state="hidden" r:id="rId14"/>
    <sheet name="FUSO 2025" sheetId="11" state="hidden" r:id="rId15"/>
    <sheet name="FUSO 2026" sheetId="18" state="hidden" r:id="rId16"/>
    <sheet name="FUSO WC 2025" sheetId="12" state="hidden" r:id="rId17"/>
    <sheet name="FUSO WC 2026" sheetId="19" state="hidden" r:id="rId18"/>
  </sheets>
  <definedNames>
    <definedName name="_xlnm._FilterDatabase" localSheetId="4" hidden="1">'FUSO 2024'!$A$1:$K$43</definedName>
    <definedName name="_xlnm._FilterDatabase" localSheetId="14" hidden="1">'FUSO 2025'!$A$1:$M$31</definedName>
    <definedName name="_xlnm._FilterDatabase" localSheetId="5" hidden="1">'FUSO WC 2024'!$A$2:$AA$2</definedName>
    <definedName name="_xlnm._FilterDatabase" localSheetId="3" hidden="1">'HINO 2024'!$A$74:$M$103</definedName>
    <definedName name="_xlnm._FilterDatabase" localSheetId="9" hidden="1">'HINO 2025'!$A$1:$L$63</definedName>
    <definedName name="_xlnm._FilterDatabase" localSheetId="1" hidden="1">'MITS 2023'!$A$1:$K$13</definedName>
    <definedName name="_xlnm._FilterDatabase" localSheetId="2" hidden="1">'MITS 2024'!$A$175:$M$216</definedName>
    <definedName name="_xlnm._FilterDatabase" localSheetId="12" hidden="1">'MITS 2025'!$A$1:$M$159</definedName>
    <definedName name="_xlnm.Print_Area" localSheetId="0">'2024'!$A$1:$R$70</definedName>
    <definedName name="_xlnm.Print_Area" localSheetId="6">'2025'!$A$1:$R$66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16" l="1"/>
  <c r="I4" i="17"/>
  <c r="H19" i="17"/>
  <c r="I3" i="20"/>
  <c r="K3" i="20" s="1"/>
  <c r="I2" i="20"/>
  <c r="I15" i="16"/>
  <c r="K15" i="16"/>
  <c r="K4" i="17"/>
  <c r="I3" i="17"/>
  <c r="I4" i="16"/>
  <c r="K4" i="16" s="1"/>
  <c r="I5" i="16"/>
  <c r="K5" i="16" s="1"/>
  <c r="I6" i="16"/>
  <c r="K6" i="16" s="1"/>
  <c r="I7" i="16"/>
  <c r="K7" i="16" s="1"/>
  <c r="I8" i="16"/>
  <c r="K8" i="16" s="1"/>
  <c r="I9" i="16"/>
  <c r="K9" i="16" s="1"/>
  <c r="I3" i="16"/>
  <c r="K3" i="16" s="1"/>
  <c r="K5" i="17"/>
  <c r="H26" i="16"/>
  <c r="I10" i="16"/>
  <c r="K10" i="16" s="1"/>
  <c r="I11" i="16"/>
  <c r="K11" i="16" s="1"/>
  <c r="I12" i="16"/>
  <c r="K12" i="16" s="1"/>
  <c r="I13" i="16"/>
  <c r="K13" i="16" s="1"/>
  <c r="I14" i="16"/>
  <c r="I16" i="16"/>
  <c r="K16" i="16" s="1"/>
  <c r="I2" i="16"/>
  <c r="K2" i="16" s="1"/>
  <c r="J18" i="16"/>
  <c r="H18" i="16"/>
  <c r="G18" i="16"/>
  <c r="H27" i="16"/>
  <c r="J11" i="17"/>
  <c r="H11" i="17"/>
  <c r="G11" i="17"/>
  <c r="K9" i="17"/>
  <c r="K8" i="17"/>
  <c r="K7" i="17"/>
  <c r="K6" i="17"/>
  <c r="K3" i="17"/>
  <c r="I2" i="17"/>
  <c r="K14" i="16" l="1"/>
  <c r="K18" i="16" s="1"/>
  <c r="I18" i="16"/>
  <c r="K2" i="17"/>
  <c r="K11" i="17" s="1"/>
  <c r="I11" i="17"/>
  <c r="K2" i="20" l="1"/>
  <c r="K11" i="20" s="1"/>
  <c r="H26" i="20"/>
  <c r="J11" i="20"/>
  <c r="H11" i="20"/>
  <c r="G11" i="20"/>
  <c r="I23" i="18"/>
  <c r="J32" i="19"/>
  <c r="J16" i="19"/>
  <c r="N55" i="15"/>
  <c r="M55" i="15"/>
  <c r="I55" i="15"/>
  <c r="G55" i="15"/>
  <c r="C55" i="15"/>
  <c r="Q54" i="15"/>
  <c r="P54" i="15"/>
  <c r="Q53" i="15"/>
  <c r="P53" i="15"/>
  <c r="Q52" i="15"/>
  <c r="P52" i="15"/>
  <c r="Q51" i="15"/>
  <c r="P51" i="15"/>
  <c r="Q50" i="15"/>
  <c r="P50" i="15"/>
  <c r="Q49" i="15"/>
  <c r="P49" i="15"/>
  <c r="Q48" i="15"/>
  <c r="P48" i="15"/>
  <c r="Q47" i="15"/>
  <c r="P47" i="15"/>
  <c r="Q46" i="15"/>
  <c r="P46" i="15"/>
  <c r="P45" i="15"/>
  <c r="L55" i="15"/>
  <c r="L64" i="15" s="1"/>
  <c r="Q45" i="15"/>
  <c r="P44" i="15"/>
  <c r="H55" i="15"/>
  <c r="D55" i="15"/>
  <c r="P43" i="15"/>
  <c r="Q43" i="15"/>
  <c r="O37" i="15"/>
  <c r="G65" i="15" s="1"/>
  <c r="M37" i="15"/>
  <c r="L37" i="15"/>
  <c r="K37" i="15"/>
  <c r="H37" i="15"/>
  <c r="F37" i="15"/>
  <c r="C37" i="15"/>
  <c r="Q36" i="15"/>
  <c r="P36" i="15"/>
  <c r="R36" i="15" s="1"/>
  <c r="Q35" i="15"/>
  <c r="R35" i="15" s="1"/>
  <c r="P35" i="15"/>
  <c r="Q34" i="15"/>
  <c r="P34" i="15"/>
  <c r="Q33" i="15"/>
  <c r="P33" i="15"/>
  <c r="Q32" i="15"/>
  <c r="P32" i="15"/>
  <c r="Q31" i="15"/>
  <c r="P31" i="15"/>
  <c r="Q30" i="15"/>
  <c r="P30" i="15"/>
  <c r="Q29" i="15"/>
  <c r="P29" i="15"/>
  <c r="Q28" i="15"/>
  <c r="P28" i="15"/>
  <c r="P27" i="15"/>
  <c r="Q27" i="15"/>
  <c r="P26" i="15"/>
  <c r="N37" i="15"/>
  <c r="Q26" i="15"/>
  <c r="R26" i="15" s="1"/>
  <c r="P25" i="15"/>
  <c r="J37" i="15"/>
  <c r="I37" i="15"/>
  <c r="G37" i="15"/>
  <c r="E37" i="15"/>
  <c r="O19" i="15"/>
  <c r="D65" i="15" s="1"/>
  <c r="N19" i="15"/>
  <c r="M19" i="15"/>
  <c r="L19" i="15"/>
  <c r="K19" i="15"/>
  <c r="H19" i="15"/>
  <c r="G19" i="15"/>
  <c r="F19" i="15"/>
  <c r="C19" i="15"/>
  <c r="Q18" i="15"/>
  <c r="P18" i="15"/>
  <c r="Q17" i="15"/>
  <c r="P17" i="15"/>
  <c r="Q16" i="15"/>
  <c r="P16" i="15"/>
  <c r="Q15" i="15"/>
  <c r="P15" i="15"/>
  <c r="Q14" i="15"/>
  <c r="P14" i="15"/>
  <c r="Q13" i="15"/>
  <c r="P13" i="15"/>
  <c r="Q12" i="15"/>
  <c r="P12" i="15"/>
  <c r="Q11" i="15"/>
  <c r="P11" i="15"/>
  <c r="Q10" i="15"/>
  <c r="P10" i="15"/>
  <c r="P9" i="15"/>
  <c r="J19" i="15"/>
  <c r="P8" i="15"/>
  <c r="Q8" i="15"/>
  <c r="Q7" i="15"/>
  <c r="P7" i="15"/>
  <c r="E19" i="15"/>
  <c r="D19" i="15"/>
  <c r="I161" i="9"/>
  <c r="I73" i="10"/>
  <c r="G199" i="9"/>
  <c r="H94" i="10"/>
  <c r="I35" i="11"/>
  <c r="R33" i="15" l="1"/>
  <c r="R15" i="15"/>
  <c r="R32" i="15"/>
  <c r="R31" i="15"/>
  <c r="I11" i="20"/>
  <c r="R27" i="15"/>
  <c r="R45" i="15"/>
  <c r="R8" i="15"/>
  <c r="I65" i="15"/>
  <c r="N65" i="15" s="1"/>
  <c r="R46" i="15"/>
  <c r="R52" i="15"/>
  <c r="R47" i="15"/>
  <c r="R53" i="15"/>
  <c r="P55" i="15"/>
  <c r="R48" i="15"/>
  <c r="R54" i="15"/>
  <c r="R49" i="15"/>
  <c r="R50" i="15"/>
  <c r="R51" i="15"/>
  <c r="R28" i="15"/>
  <c r="R34" i="15"/>
  <c r="R29" i="15"/>
  <c r="R30" i="15"/>
  <c r="P37" i="15"/>
  <c r="R10" i="15"/>
  <c r="R16" i="15"/>
  <c r="R11" i="15"/>
  <c r="R17" i="15"/>
  <c r="R12" i="15"/>
  <c r="R18" i="15"/>
  <c r="P19" i="15"/>
  <c r="R13" i="15"/>
  <c r="D64" i="15"/>
  <c r="R14" i="15"/>
  <c r="Q9" i="15"/>
  <c r="R9" i="15" s="1"/>
  <c r="I19" i="15"/>
  <c r="D62" i="15" s="1"/>
  <c r="R43" i="15"/>
  <c r="Q25" i="15"/>
  <c r="D37" i="15"/>
  <c r="G62" i="15" s="1"/>
  <c r="G64" i="15"/>
  <c r="L62" i="15"/>
  <c r="G63" i="15"/>
  <c r="R7" i="15"/>
  <c r="Q44" i="15"/>
  <c r="R44" i="15" s="1"/>
  <c r="H88" i="10"/>
  <c r="Q13" i="3"/>
  <c r="F26" i="14"/>
  <c r="J15" i="14"/>
  <c r="Q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P5" i="13"/>
  <c r="Q5" i="13"/>
  <c r="P6" i="13"/>
  <c r="Q6" i="13"/>
  <c r="P9" i="13"/>
  <c r="Q9" i="13"/>
  <c r="R9" i="13" s="1"/>
  <c r="P8" i="13"/>
  <c r="Q8" i="13"/>
  <c r="P7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P29" i="13"/>
  <c r="P28" i="13"/>
  <c r="P27" i="13"/>
  <c r="Q19" i="13"/>
  <c r="Q20" i="13"/>
  <c r="Q21" i="13"/>
  <c r="Q23" i="13"/>
  <c r="Q25" i="13"/>
  <c r="Q26" i="13"/>
  <c r="P26" i="13"/>
  <c r="P25" i="13"/>
  <c r="P24" i="13"/>
  <c r="Q24" i="13"/>
  <c r="P23" i="13"/>
  <c r="P22" i="13"/>
  <c r="Q22" i="13"/>
  <c r="P21" i="13"/>
  <c r="P20" i="13"/>
  <c r="P19" i="13"/>
  <c r="P18" i="13"/>
  <c r="Q18" i="13"/>
  <c r="J17" i="12"/>
  <c r="J37" i="12"/>
  <c r="Q54" i="3"/>
  <c r="Q46" i="3"/>
  <c r="Q47" i="3"/>
  <c r="Q48" i="3"/>
  <c r="Q49" i="3"/>
  <c r="Q50" i="3"/>
  <c r="Q51" i="3"/>
  <c r="Q52" i="3"/>
  <c r="Q53" i="3"/>
  <c r="D45" i="3"/>
  <c r="D44" i="3"/>
  <c r="D43" i="3"/>
  <c r="H45" i="3"/>
  <c r="H44" i="3"/>
  <c r="M55" i="3"/>
  <c r="L45" i="3"/>
  <c r="L43" i="3"/>
  <c r="Q18" i="3"/>
  <c r="Q10" i="3"/>
  <c r="Q11" i="3"/>
  <c r="Q12" i="3"/>
  <c r="Q14" i="3"/>
  <c r="Q15" i="3"/>
  <c r="Q16" i="3"/>
  <c r="Q17" i="3"/>
  <c r="J7" i="3"/>
  <c r="J8" i="3"/>
  <c r="J9" i="3"/>
  <c r="I9" i="3"/>
  <c r="I8" i="3"/>
  <c r="I7" i="3"/>
  <c r="E7" i="3"/>
  <c r="E8" i="3"/>
  <c r="E9" i="3"/>
  <c r="D9" i="3"/>
  <c r="D8" i="3"/>
  <c r="D7" i="3"/>
  <c r="O19" i="3"/>
  <c r="K19" i="3"/>
  <c r="L19" i="3"/>
  <c r="F19" i="3"/>
  <c r="K37" i="3"/>
  <c r="L37" i="3"/>
  <c r="F37" i="3"/>
  <c r="Q36" i="3"/>
  <c r="Q35" i="3"/>
  <c r="Q34" i="3"/>
  <c r="Q33" i="3"/>
  <c r="Q31" i="3"/>
  <c r="Q30" i="3"/>
  <c r="Q29" i="3"/>
  <c r="Q28" i="3"/>
  <c r="N27" i="3"/>
  <c r="N26" i="3"/>
  <c r="O25" i="3"/>
  <c r="O37" i="3" s="1"/>
  <c r="J25" i="3"/>
  <c r="J26" i="3"/>
  <c r="J27" i="3"/>
  <c r="I27" i="3"/>
  <c r="I26" i="3"/>
  <c r="I25" i="3"/>
  <c r="G25" i="3"/>
  <c r="G37" i="3" s="1"/>
  <c r="E25" i="3"/>
  <c r="E26" i="3"/>
  <c r="E27" i="3"/>
  <c r="D27" i="3"/>
  <c r="D25" i="3"/>
  <c r="D26" i="3"/>
  <c r="Q53" i="4"/>
  <c r="K37" i="4"/>
  <c r="L37" i="4"/>
  <c r="K19" i="4"/>
  <c r="L19" i="4"/>
  <c r="Q36" i="4"/>
  <c r="Q35" i="4"/>
  <c r="Q34" i="4"/>
  <c r="Q33" i="4"/>
  <c r="Q32" i="4"/>
  <c r="Q31" i="4"/>
  <c r="Q30" i="4"/>
  <c r="Q29" i="4"/>
  <c r="Q28" i="4"/>
  <c r="Q27" i="4"/>
  <c r="Q26" i="4"/>
  <c r="Q25" i="4"/>
  <c r="Q18" i="4"/>
  <c r="Q17" i="4"/>
  <c r="Q16" i="4"/>
  <c r="Q15" i="4"/>
  <c r="Q14" i="4"/>
  <c r="Q13" i="4"/>
  <c r="Q12" i="4"/>
  <c r="Q11" i="4"/>
  <c r="Q10" i="4"/>
  <c r="Q9" i="4"/>
  <c r="Q8" i="4"/>
  <c r="Q7" i="4"/>
  <c r="G218" i="6"/>
  <c r="F37" i="4"/>
  <c r="F19" i="4"/>
  <c r="G105" i="5"/>
  <c r="J33" i="8"/>
  <c r="J9" i="8"/>
  <c r="K45" i="7"/>
  <c r="K67" i="5"/>
  <c r="L67" i="5" s="1"/>
  <c r="J169" i="6"/>
  <c r="K169" i="6" s="1"/>
  <c r="J25" i="4"/>
  <c r="J26" i="4"/>
  <c r="J27" i="4"/>
  <c r="J28" i="4"/>
  <c r="J29" i="4"/>
  <c r="J30" i="4"/>
  <c r="J31" i="4"/>
  <c r="J32" i="4"/>
  <c r="J33" i="4"/>
  <c r="J34" i="4"/>
  <c r="J35" i="4"/>
  <c r="J36" i="4"/>
  <c r="I36" i="4"/>
  <c r="I35" i="4"/>
  <c r="I34" i="4"/>
  <c r="I33" i="4"/>
  <c r="I32" i="4"/>
  <c r="I31" i="4"/>
  <c r="I30" i="4"/>
  <c r="I29" i="4"/>
  <c r="I28" i="4"/>
  <c r="I27" i="4"/>
  <c r="I26" i="4"/>
  <c r="I25" i="4"/>
  <c r="E25" i="4"/>
  <c r="E26" i="4"/>
  <c r="E27" i="4"/>
  <c r="E28" i="4"/>
  <c r="E29" i="4"/>
  <c r="E30" i="4"/>
  <c r="E31" i="4"/>
  <c r="E32" i="4"/>
  <c r="E33" i="4"/>
  <c r="E34" i="4"/>
  <c r="E35" i="4"/>
  <c r="E36" i="4"/>
  <c r="D36" i="4"/>
  <c r="D35" i="4"/>
  <c r="D34" i="4"/>
  <c r="D33" i="4"/>
  <c r="D32" i="4"/>
  <c r="D31" i="4"/>
  <c r="D30" i="4"/>
  <c r="D29" i="4"/>
  <c r="D28" i="4"/>
  <c r="D27" i="4"/>
  <c r="D26" i="4"/>
  <c r="D25" i="4"/>
  <c r="Q19" i="15" l="1"/>
  <c r="R19" i="15" s="1"/>
  <c r="Q55" i="15"/>
  <c r="L59" i="15" s="1"/>
  <c r="G66" i="15"/>
  <c r="I64" i="15"/>
  <c r="N64" i="15" s="1"/>
  <c r="D63" i="15"/>
  <c r="D66" i="15" s="1"/>
  <c r="L66" i="15"/>
  <c r="R25" i="15"/>
  <c r="Q37" i="15"/>
  <c r="I62" i="15"/>
  <c r="N62" i="15" s="1"/>
  <c r="P62" i="15" s="1"/>
  <c r="J37" i="3"/>
  <c r="Q32" i="3"/>
  <c r="Q43" i="3"/>
  <c r="R5" i="13"/>
  <c r="P10" i="13"/>
  <c r="R6" i="13"/>
  <c r="R8" i="13"/>
  <c r="Q7" i="13"/>
  <c r="R7" i="13" s="1"/>
  <c r="P30" i="13"/>
  <c r="Q28" i="13"/>
  <c r="R28" i="13" s="1"/>
  <c r="Q27" i="13"/>
  <c r="R27" i="13" s="1"/>
  <c r="Q29" i="13"/>
  <c r="R29" i="13" s="1"/>
  <c r="R25" i="13"/>
  <c r="R19" i="13"/>
  <c r="R22" i="13"/>
  <c r="R20" i="13"/>
  <c r="R24" i="13"/>
  <c r="R18" i="13"/>
  <c r="R21" i="13"/>
  <c r="R23" i="13"/>
  <c r="R26" i="13"/>
  <c r="Q44" i="3"/>
  <c r="Q7" i="3"/>
  <c r="Q8" i="3"/>
  <c r="Q45" i="3"/>
  <c r="R45" i="3" s="1"/>
  <c r="Q27" i="3"/>
  <c r="E37" i="3"/>
  <c r="Q26" i="3"/>
  <c r="Q25" i="3"/>
  <c r="Q9" i="3"/>
  <c r="R9" i="3" s="1"/>
  <c r="J19" i="3"/>
  <c r="G19" i="3"/>
  <c r="E19" i="3"/>
  <c r="J7" i="4"/>
  <c r="J8" i="4"/>
  <c r="J9" i="4"/>
  <c r="J10" i="4"/>
  <c r="J11" i="4"/>
  <c r="J12" i="4"/>
  <c r="J16" i="4"/>
  <c r="J18" i="4"/>
  <c r="I18" i="4"/>
  <c r="I16" i="4"/>
  <c r="I12" i="4"/>
  <c r="I11" i="4"/>
  <c r="I10" i="4"/>
  <c r="I9" i="4"/>
  <c r="I8" i="4"/>
  <c r="I7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8" i="4"/>
  <c r="D8" i="4"/>
  <c r="E7" i="4"/>
  <c r="D7" i="4"/>
  <c r="N55" i="4"/>
  <c r="M55" i="4"/>
  <c r="L55" i="4"/>
  <c r="L64" i="4" s="1"/>
  <c r="I55" i="4"/>
  <c r="H55" i="4"/>
  <c r="G55" i="4"/>
  <c r="D55" i="4"/>
  <c r="C55" i="4"/>
  <c r="Q54" i="4"/>
  <c r="P54" i="4"/>
  <c r="P53" i="4"/>
  <c r="Q52" i="4"/>
  <c r="P52" i="4"/>
  <c r="Q51" i="4"/>
  <c r="P51" i="4"/>
  <c r="Q50" i="4"/>
  <c r="P50" i="4"/>
  <c r="Q49" i="4"/>
  <c r="P49" i="4"/>
  <c r="Q48" i="4"/>
  <c r="P48" i="4"/>
  <c r="Q47" i="4"/>
  <c r="P47" i="4"/>
  <c r="Q46" i="4"/>
  <c r="P46" i="4"/>
  <c r="Q45" i="4"/>
  <c r="P45" i="4"/>
  <c r="Q44" i="4"/>
  <c r="P44" i="4"/>
  <c r="Q43" i="4"/>
  <c r="P43" i="4"/>
  <c r="O37" i="4"/>
  <c r="G65" i="4" s="1"/>
  <c r="N37" i="4"/>
  <c r="M37" i="4"/>
  <c r="J37" i="4"/>
  <c r="I37" i="4"/>
  <c r="H37" i="4"/>
  <c r="G37" i="4"/>
  <c r="E37" i="4"/>
  <c r="D37" i="4"/>
  <c r="C37" i="4"/>
  <c r="P36" i="4"/>
  <c r="P35" i="4"/>
  <c r="P34" i="4"/>
  <c r="P33" i="4"/>
  <c r="P32" i="4"/>
  <c r="P31" i="4"/>
  <c r="P30" i="4"/>
  <c r="P29" i="4"/>
  <c r="P28" i="4"/>
  <c r="P27" i="4"/>
  <c r="P26" i="4"/>
  <c r="P25" i="4"/>
  <c r="O19" i="4"/>
  <c r="D65" i="4" s="1"/>
  <c r="N19" i="4"/>
  <c r="M19" i="4"/>
  <c r="H19" i="4"/>
  <c r="G19" i="4"/>
  <c r="C19" i="4"/>
  <c r="P18" i="4"/>
  <c r="P17" i="4"/>
  <c r="P16" i="4"/>
  <c r="P15" i="4"/>
  <c r="P14" i="4"/>
  <c r="P13" i="4"/>
  <c r="P12" i="4"/>
  <c r="P11" i="4"/>
  <c r="P10" i="4"/>
  <c r="P9" i="4"/>
  <c r="P8" i="4"/>
  <c r="P7" i="4"/>
  <c r="R11" i="3"/>
  <c r="R35" i="3"/>
  <c r="N37" i="3"/>
  <c r="I37" i="3"/>
  <c r="N55" i="3"/>
  <c r="L55" i="3"/>
  <c r="L64" i="3" s="1"/>
  <c r="I55" i="3"/>
  <c r="H55" i="3"/>
  <c r="G55" i="3"/>
  <c r="D55" i="3"/>
  <c r="C55" i="3"/>
  <c r="P54" i="3"/>
  <c r="P53" i="3"/>
  <c r="R53" i="3" s="1"/>
  <c r="P52" i="3"/>
  <c r="R52" i="3" s="1"/>
  <c r="P51" i="3"/>
  <c r="R51" i="3" s="1"/>
  <c r="P50" i="3"/>
  <c r="R50" i="3" s="1"/>
  <c r="P49" i="3"/>
  <c r="R49" i="3" s="1"/>
  <c r="P48" i="3"/>
  <c r="R48" i="3" s="1"/>
  <c r="P47" i="3"/>
  <c r="R47" i="3" s="1"/>
  <c r="P46" i="3"/>
  <c r="R46" i="3" s="1"/>
  <c r="P45" i="3"/>
  <c r="P44" i="3"/>
  <c r="P43" i="3"/>
  <c r="G65" i="3"/>
  <c r="M37" i="3"/>
  <c r="H37" i="3"/>
  <c r="D37" i="3"/>
  <c r="C37" i="3"/>
  <c r="P36" i="3"/>
  <c r="R36" i="3" s="1"/>
  <c r="P35" i="3"/>
  <c r="P34" i="3"/>
  <c r="R34" i="3" s="1"/>
  <c r="P33" i="3"/>
  <c r="R33" i="3" s="1"/>
  <c r="P32" i="3"/>
  <c r="R32" i="3" s="1"/>
  <c r="P31" i="3"/>
  <c r="R31" i="3" s="1"/>
  <c r="P30" i="3"/>
  <c r="R30" i="3" s="1"/>
  <c r="P29" i="3"/>
  <c r="R29" i="3" s="1"/>
  <c r="P28" i="3"/>
  <c r="R28" i="3" s="1"/>
  <c r="P27" i="3"/>
  <c r="P26" i="3"/>
  <c r="P25" i="3"/>
  <c r="D65" i="3"/>
  <c r="N19" i="3"/>
  <c r="M19" i="3"/>
  <c r="I19" i="3"/>
  <c r="H19" i="3"/>
  <c r="D19" i="3"/>
  <c r="C19" i="3"/>
  <c r="P18" i="3"/>
  <c r="R18" i="3" s="1"/>
  <c r="P17" i="3"/>
  <c r="R17" i="3" s="1"/>
  <c r="P16" i="3"/>
  <c r="R16" i="3" s="1"/>
  <c r="P15" i="3"/>
  <c r="R15" i="3" s="1"/>
  <c r="P14" i="3"/>
  <c r="R14" i="3" s="1"/>
  <c r="P13" i="3"/>
  <c r="R13" i="3" s="1"/>
  <c r="P12" i="3"/>
  <c r="R12" i="3" s="1"/>
  <c r="P11" i="3"/>
  <c r="P10" i="3"/>
  <c r="P9" i="3"/>
  <c r="P8" i="3"/>
  <c r="P7" i="3"/>
  <c r="L57" i="15" l="1"/>
  <c r="R55" i="15"/>
  <c r="R62" i="15"/>
  <c r="Q62" i="15"/>
  <c r="I63" i="15"/>
  <c r="P64" i="15"/>
  <c r="R64" i="15"/>
  <c r="R37" i="15"/>
  <c r="L58" i="15"/>
  <c r="Q64" i="15"/>
  <c r="Q37" i="3"/>
  <c r="Q30" i="13"/>
  <c r="R30" i="13"/>
  <c r="D62" i="3"/>
  <c r="R10" i="3"/>
  <c r="R44" i="3"/>
  <c r="R54" i="3"/>
  <c r="R47" i="4"/>
  <c r="R53" i="4"/>
  <c r="L62" i="4"/>
  <c r="L66" i="4" s="1"/>
  <c r="R9" i="4"/>
  <c r="R17" i="4"/>
  <c r="G63" i="4"/>
  <c r="G62" i="4"/>
  <c r="R30" i="4"/>
  <c r="R28" i="4"/>
  <c r="R36" i="4"/>
  <c r="R35" i="4"/>
  <c r="R34" i="4"/>
  <c r="R33" i="4"/>
  <c r="R32" i="4"/>
  <c r="R31" i="4"/>
  <c r="R29" i="4"/>
  <c r="R18" i="4"/>
  <c r="R11" i="4"/>
  <c r="R14" i="4"/>
  <c r="J19" i="4"/>
  <c r="I19" i="4"/>
  <c r="R16" i="4"/>
  <c r="R13" i="4"/>
  <c r="R7" i="4"/>
  <c r="E19" i="4"/>
  <c r="R8" i="4"/>
  <c r="R15" i="4"/>
  <c r="D64" i="4"/>
  <c r="D19" i="4"/>
  <c r="R12" i="4"/>
  <c r="R10" i="4"/>
  <c r="R46" i="4"/>
  <c r="R52" i="4"/>
  <c r="P55" i="4"/>
  <c r="R49" i="4"/>
  <c r="R50" i="4"/>
  <c r="R51" i="4"/>
  <c r="R48" i="4"/>
  <c r="R54" i="4"/>
  <c r="R43" i="4"/>
  <c r="R44" i="4"/>
  <c r="R45" i="4"/>
  <c r="G64" i="4"/>
  <c r="I65" i="4"/>
  <c r="N65" i="4" s="1"/>
  <c r="R26" i="4"/>
  <c r="P37" i="4"/>
  <c r="Q37" i="4"/>
  <c r="R27" i="4"/>
  <c r="R25" i="4"/>
  <c r="P19" i="4"/>
  <c r="Q55" i="4"/>
  <c r="R8" i="3"/>
  <c r="P19" i="3"/>
  <c r="L62" i="3"/>
  <c r="L66" i="3" s="1"/>
  <c r="R27" i="3"/>
  <c r="G64" i="3"/>
  <c r="R26" i="3"/>
  <c r="P37" i="3"/>
  <c r="I65" i="3"/>
  <c r="N65" i="3" s="1"/>
  <c r="G62" i="3"/>
  <c r="D64" i="3"/>
  <c r="R7" i="3"/>
  <c r="R43" i="3"/>
  <c r="P55" i="3"/>
  <c r="Q55" i="3"/>
  <c r="L59" i="3" s="1"/>
  <c r="R25" i="3"/>
  <c r="Q19" i="3"/>
  <c r="D63" i="3"/>
  <c r="G63" i="3"/>
  <c r="I66" i="15" l="1"/>
  <c r="N63" i="15"/>
  <c r="I62" i="3"/>
  <c r="N62" i="3" s="1"/>
  <c r="R62" i="3" s="1"/>
  <c r="D63" i="4"/>
  <c r="I63" i="4" s="1"/>
  <c r="N63" i="4" s="1"/>
  <c r="R37" i="4"/>
  <c r="L58" i="4"/>
  <c r="D62" i="4"/>
  <c r="I62" i="4" s="1"/>
  <c r="N62" i="4" s="1"/>
  <c r="P62" i="4" s="1"/>
  <c r="Q19" i="4"/>
  <c r="L57" i="4" s="1"/>
  <c r="I64" i="4"/>
  <c r="N64" i="4" s="1"/>
  <c r="P64" i="4" s="1"/>
  <c r="G66" i="4"/>
  <c r="R55" i="4"/>
  <c r="L59" i="4"/>
  <c r="D66" i="3"/>
  <c r="I64" i="3"/>
  <c r="N64" i="3" s="1"/>
  <c r="R64" i="3" s="1"/>
  <c r="R55" i="3"/>
  <c r="L57" i="3"/>
  <c r="R19" i="3"/>
  <c r="L58" i="3"/>
  <c r="R37" i="3"/>
  <c r="I63" i="3"/>
  <c r="G66" i="3"/>
  <c r="R63" i="15" l="1"/>
  <c r="N66" i="15"/>
  <c r="Q63" i="15"/>
  <c r="P63" i="15"/>
  <c r="Q62" i="3"/>
  <c r="P62" i="3"/>
  <c r="D66" i="4"/>
  <c r="R19" i="4"/>
  <c r="R62" i="4"/>
  <c r="Q62" i="4"/>
  <c r="I66" i="4"/>
  <c r="Q64" i="4"/>
  <c r="R64" i="4"/>
  <c r="N66" i="4"/>
  <c r="R63" i="4"/>
  <c r="P63" i="4"/>
  <c r="Q63" i="4"/>
  <c r="P64" i="3"/>
  <c r="Q64" i="3"/>
  <c r="I66" i="3"/>
  <c r="N63" i="3"/>
  <c r="N66" i="3" l="1"/>
  <c r="R63" i="3"/>
  <c r="Q63" i="3"/>
  <c r="P63" i="3"/>
</calcChain>
</file>

<file path=xl/sharedStrings.xml><?xml version="1.0" encoding="utf-8"?>
<sst xmlns="http://schemas.openxmlformats.org/spreadsheetml/2006/main" count="4577" uniqueCount="1858">
  <si>
    <t>HINO</t>
  </si>
  <si>
    <t>OTHERS</t>
  </si>
  <si>
    <t>WARRANTY</t>
  </si>
  <si>
    <t xml:space="preserve">INTAKE </t>
  </si>
  <si>
    <t xml:space="preserve">CASH </t>
  </si>
  <si>
    <t xml:space="preserve">CREDIT </t>
  </si>
  <si>
    <t>FREE SERVICE</t>
  </si>
  <si>
    <t>JANUARY</t>
  </si>
  <si>
    <t>FEBRUARY</t>
  </si>
  <si>
    <t xml:space="preserve">MARCH </t>
  </si>
  <si>
    <t xml:space="preserve">APRIL </t>
  </si>
  <si>
    <t xml:space="preserve">MAY </t>
  </si>
  <si>
    <t xml:space="preserve">JUNE </t>
  </si>
  <si>
    <t>JULY</t>
  </si>
  <si>
    <t xml:space="preserve">AUGUST </t>
  </si>
  <si>
    <t>SEPTEMBER</t>
  </si>
  <si>
    <t xml:space="preserve">OCTOBER </t>
  </si>
  <si>
    <t xml:space="preserve">NOVEMBER </t>
  </si>
  <si>
    <t>DECEMBER</t>
  </si>
  <si>
    <t>Average Per Month     :</t>
  </si>
  <si>
    <t>Hino</t>
  </si>
  <si>
    <t>B&amp;P</t>
  </si>
  <si>
    <t>Total</t>
  </si>
  <si>
    <t>Total :</t>
  </si>
  <si>
    <t>Auto Raya Sdn Bhd</t>
  </si>
  <si>
    <t>ACCIDENT</t>
  </si>
  <si>
    <t>CASH</t>
  </si>
  <si>
    <t>WINDSCREEN</t>
  </si>
  <si>
    <t>INTAKE</t>
  </si>
  <si>
    <t>TOTAL</t>
  </si>
  <si>
    <t>MITSUBISHI</t>
  </si>
  <si>
    <t>MITSUBUSHI</t>
  </si>
  <si>
    <t>Service</t>
  </si>
  <si>
    <t>AFTER SALES SERVICE</t>
  </si>
  <si>
    <t>SERVICE FUSO</t>
  </si>
  <si>
    <t>SERVICE HINO</t>
  </si>
  <si>
    <t>Mitsubishi</t>
  </si>
  <si>
    <t>Total Insurance</t>
  </si>
  <si>
    <t>Avg</t>
  </si>
  <si>
    <t>Total WindScreen</t>
  </si>
  <si>
    <t>Total Cash Job</t>
  </si>
  <si>
    <t>-</t>
  </si>
  <si>
    <t>Others</t>
  </si>
  <si>
    <t>B&amp;P Sales %</t>
  </si>
  <si>
    <t>INVOICE</t>
  </si>
  <si>
    <t>Monthly Summary After Sales 2024</t>
  </si>
  <si>
    <t>Monthly Summary After Sales 2025</t>
  </si>
  <si>
    <t>INS - LABOURS</t>
  </si>
  <si>
    <t>INS - PARTS</t>
  </si>
  <si>
    <t>HBPWO2412013</t>
  </si>
  <si>
    <t>VGL7449</t>
  </si>
  <si>
    <t>EDARAN RIZ SDN BHD</t>
  </si>
  <si>
    <t>HBPSI2412010</t>
  </si>
  <si>
    <t>HBPWO2412011</t>
  </si>
  <si>
    <t>HBPSI2412009</t>
  </si>
  <si>
    <t>HBPWO2412010</t>
  </si>
  <si>
    <t>VGT3790</t>
  </si>
  <si>
    <t>HBPSI2412008</t>
  </si>
  <si>
    <t>HBPWO2412009</t>
  </si>
  <si>
    <t>VGU7551</t>
  </si>
  <si>
    <t>HBPSI2412007</t>
  </si>
  <si>
    <t>HBPWO2412008</t>
  </si>
  <si>
    <t>VGS7608</t>
  </si>
  <si>
    <t>HBPSI2412006</t>
  </si>
  <si>
    <t>HBPWO2412007</t>
  </si>
  <si>
    <t>VGK9635</t>
  </si>
  <si>
    <t>HBPSI2412005</t>
  </si>
  <si>
    <t>HBPWO2412006</t>
  </si>
  <si>
    <t>VGK8942</t>
  </si>
  <si>
    <t>HBPSI2412004</t>
  </si>
  <si>
    <t>HBPWO2412005</t>
  </si>
  <si>
    <t>VGW6873</t>
  </si>
  <si>
    <t>HBPSI2412003</t>
  </si>
  <si>
    <t>HBPWO2411001</t>
  </si>
  <si>
    <t>CEA8396</t>
  </si>
  <si>
    <t>HBPSI2412002</t>
  </si>
  <si>
    <t>HBPWO2412001</t>
  </si>
  <si>
    <t>SYU1218</t>
  </si>
  <si>
    <t>HBPSI2412001</t>
  </si>
  <si>
    <t>HBPWO2411009</t>
  </si>
  <si>
    <t>HBPSI2411010</t>
  </si>
  <si>
    <t>HBPWO2411008</t>
  </si>
  <si>
    <t>HBPSI2411009</t>
  </si>
  <si>
    <t>HBPWO2411007</t>
  </si>
  <si>
    <t>HBPSI2411008</t>
  </si>
  <si>
    <t>HBPWO2411006</t>
  </si>
  <si>
    <t>HBPSI2411007</t>
  </si>
  <si>
    <t>HBPWO2411005</t>
  </si>
  <si>
    <t>HBPSI2411006</t>
  </si>
  <si>
    <t>HBPWO2411004</t>
  </si>
  <si>
    <t>HBPSI2411005</t>
  </si>
  <si>
    <t>HBPWO2411003</t>
  </si>
  <si>
    <t>HBPSI2411004</t>
  </si>
  <si>
    <t>HBPWO2411002</t>
  </si>
  <si>
    <t>VGN2843</t>
  </si>
  <si>
    <t>HBPSI2411003</t>
  </si>
  <si>
    <t>HBPWO2409001</t>
  </si>
  <si>
    <t>JXC3652</t>
  </si>
  <si>
    <t>HBPSI2411002</t>
  </si>
  <si>
    <t>HBPWO2410003</t>
  </si>
  <si>
    <t>VBN9692</t>
  </si>
  <si>
    <t>HBPSI2411001</t>
  </si>
  <si>
    <t>HBPWO2409002</t>
  </si>
  <si>
    <t>SK8018D</t>
  </si>
  <si>
    <t>HBPSI2410002</t>
  </si>
  <si>
    <t>HBPWO2409003</t>
  </si>
  <si>
    <t>SWE6668</t>
  </si>
  <si>
    <t>HBPSI2410001</t>
  </si>
  <si>
    <t>HBPWO2408003</t>
  </si>
  <si>
    <t>VHY5222</t>
  </si>
  <si>
    <t>HBPSI2409004</t>
  </si>
  <si>
    <t>HBPWO2408001</t>
  </si>
  <si>
    <t>MDW8893</t>
  </si>
  <si>
    <t>HBPSI2409003</t>
  </si>
  <si>
    <t>HBPWO2408002</t>
  </si>
  <si>
    <t>TCW7101</t>
  </si>
  <si>
    <t>HBPSI2409002</t>
  </si>
  <si>
    <t>HBPWO2407005</t>
  </si>
  <si>
    <t>KEY2569</t>
  </si>
  <si>
    <t>HBPSI2409001</t>
  </si>
  <si>
    <t>HBPWO2407002</t>
  </si>
  <si>
    <t>WYN442</t>
  </si>
  <si>
    <t>HBPSI2408002</t>
  </si>
  <si>
    <t>HBPWO2406001</t>
  </si>
  <si>
    <t>JVW2403</t>
  </si>
  <si>
    <t>HBPSI2408001</t>
  </si>
  <si>
    <t>HBPWO2405005</t>
  </si>
  <si>
    <t>VDR7724</t>
  </si>
  <si>
    <t>HBPSI2407009</t>
  </si>
  <si>
    <t>HBPWO2407008</t>
  </si>
  <si>
    <t>HBPSI2407008</t>
  </si>
  <si>
    <t>HBPWO2407007</t>
  </si>
  <si>
    <t>HBPSI2407007</t>
  </si>
  <si>
    <t>HBPWO2405006</t>
  </si>
  <si>
    <t>TBX7589</t>
  </si>
  <si>
    <t>HBPSI2407006</t>
  </si>
  <si>
    <t>HBPWO2407004</t>
  </si>
  <si>
    <t>SHIKH ENTERPRISE</t>
  </si>
  <si>
    <t>HBPSI2407005</t>
  </si>
  <si>
    <t>TCK3019</t>
  </si>
  <si>
    <t>HBPWO2406013</t>
  </si>
  <si>
    <t>QBG8589</t>
  </si>
  <si>
    <t>OM SRI RAJAH TRADING</t>
  </si>
  <si>
    <t>HBPSI2407003</t>
  </si>
  <si>
    <t>HBPWO2405008</t>
  </si>
  <si>
    <t>HBPWO2405004</t>
  </si>
  <si>
    <t>JPL5999</t>
  </si>
  <si>
    <t>HBPSI2407001</t>
  </si>
  <si>
    <t>HBPWO2406011</t>
  </si>
  <si>
    <t>HBPSI2406013</t>
  </si>
  <si>
    <t>HBPWO2406010</t>
  </si>
  <si>
    <t>HBPSI2406012</t>
  </si>
  <si>
    <t>HBPWO2406009</t>
  </si>
  <si>
    <t>HBPSI2406011</t>
  </si>
  <si>
    <t>HBPWO2406008</t>
  </si>
  <si>
    <t>HBPSI2406010</t>
  </si>
  <si>
    <t>HBPWO2406007</t>
  </si>
  <si>
    <t>HBPSI2406009</t>
  </si>
  <si>
    <t>HBPWO2406006</t>
  </si>
  <si>
    <t>HBPSI2406008</t>
  </si>
  <si>
    <t>HBPWO2406005</t>
  </si>
  <si>
    <t>HBPSI2406007</t>
  </si>
  <si>
    <t>HBPWO2406004</t>
  </si>
  <si>
    <t>HBPSI2406006</t>
  </si>
  <si>
    <t>HBPWO2404002</t>
  </si>
  <si>
    <t>HBPSI2406005</t>
  </si>
  <si>
    <t>HBPWO2406002</t>
  </si>
  <si>
    <t>CEP6209</t>
  </si>
  <si>
    <t>HBPSI2406004</t>
  </si>
  <si>
    <t>HBPWO2405003</t>
  </si>
  <si>
    <t>WA6461G</t>
  </si>
  <si>
    <t>HBPSI2406003</t>
  </si>
  <si>
    <t>HBPWO2404001</t>
  </si>
  <si>
    <t>MDP5398</t>
  </si>
  <si>
    <t>HBPSI2406002</t>
  </si>
  <si>
    <t>HBPWO2404003</t>
  </si>
  <si>
    <t>CEQ8209</t>
  </si>
  <si>
    <t>HBPSI2406001</t>
  </si>
  <si>
    <t>HBPWO2405007</t>
  </si>
  <si>
    <t>PNW3866</t>
  </si>
  <si>
    <t>HBPSI2405005</t>
  </si>
  <si>
    <t>HBPWO2404004</t>
  </si>
  <si>
    <t>PPS6686</t>
  </si>
  <si>
    <t>HBPSI2405004</t>
  </si>
  <si>
    <t>HBPWO2405002</t>
  </si>
  <si>
    <t>BKN3892</t>
  </si>
  <si>
    <t>HBPSI2405003</t>
  </si>
  <si>
    <t>HBPWO2405001</t>
  </si>
  <si>
    <t>BKM5452</t>
  </si>
  <si>
    <t>HBPSI2405002</t>
  </si>
  <si>
    <t>HBPWO2402003</t>
  </si>
  <si>
    <t>VHU1133</t>
  </si>
  <si>
    <t>HBPSI2405001</t>
  </si>
  <si>
    <t>HBPWO2402002</t>
  </si>
  <si>
    <t>CDJ7715</t>
  </si>
  <si>
    <t>HBPSI2404004</t>
  </si>
  <si>
    <t>HBPWO2403002</t>
  </si>
  <si>
    <t>T/N2206</t>
  </si>
  <si>
    <t>HBPSI2404003</t>
  </si>
  <si>
    <t>HBPWO2403004</t>
  </si>
  <si>
    <t>HBPSI2404002</t>
  </si>
  <si>
    <t>HBPWO2403005</t>
  </si>
  <si>
    <t>VHT4642</t>
  </si>
  <si>
    <t>HBPSI2404001</t>
  </si>
  <si>
    <t>HBPWO2403001</t>
  </si>
  <si>
    <t>KEM6686</t>
  </si>
  <si>
    <t>HBPSI2403001</t>
  </si>
  <si>
    <t>HBPWO2402001</t>
  </si>
  <si>
    <t>CEA6128</t>
  </si>
  <si>
    <t>HBPSI2402002</t>
  </si>
  <si>
    <t>HBPWO2311002</t>
  </si>
  <si>
    <t>BMN4706</t>
  </si>
  <si>
    <t>HBPSI2402001</t>
  </si>
  <si>
    <t>HBPWO2401001</t>
  </si>
  <si>
    <t>CDF7298</t>
  </si>
  <si>
    <t>HBPSI2401003</t>
  </si>
  <si>
    <t>HBPWO2312001</t>
  </si>
  <si>
    <t>VLB4149</t>
  </si>
  <si>
    <t>HBPSI2401002</t>
  </si>
  <si>
    <t>HBPWO2311003</t>
  </si>
  <si>
    <t>HBPSI2401001</t>
  </si>
  <si>
    <t>DISC.</t>
  </si>
  <si>
    <t>GTOTAL</t>
  </si>
  <si>
    <t>L.TOTAL</t>
  </si>
  <si>
    <t>P.TOTAL</t>
  </si>
  <si>
    <t>JOBNO</t>
  </si>
  <si>
    <t>REG NO</t>
  </si>
  <si>
    <t>CUSTOMER NAME</t>
  </si>
  <si>
    <t>DATE</t>
  </si>
  <si>
    <t xml:space="preserve">TRANSNO </t>
  </si>
  <si>
    <t>OD</t>
  </si>
  <si>
    <t>WS</t>
  </si>
  <si>
    <t>CR</t>
  </si>
  <si>
    <t>HBPSI2407002 &amp; HBPSI2407004</t>
  </si>
  <si>
    <t>MBPSI2401001</t>
  </si>
  <si>
    <t>AUTO RAYA TIMUR SDN BHD</t>
  </si>
  <si>
    <t>CEM8056</t>
  </si>
  <si>
    <t>MBPWO2311007</t>
  </si>
  <si>
    <t>MBPSI2401002</t>
  </si>
  <si>
    <t>CEN9684</t>
  </si>
  <si>
    <t>MBPWO2401001</t>
  </si>
  <si>
    <t>MBPSI2401003</t>
  </si>
  <si>
    <t>KFN7175</t>
  </si>
  <si>
    <t>MBPWO2312006</t>
  </si>
  <si>
    <t>MBPSI2401004</t>
  </si>
  <si>
    <t>MUHAMAD KHAIRUL LUBIS BIN RAZAK</t>
  </si>
  <si>
    <t>KFP8082</t>
  </si>
  <si>
    <t>MBPWO2401003</t>
  </si>
  <si>
    <t>MBPSI2401005</t>
  </si>
  <si>
    <t>VKK5775</t>
  </si>
  <si>
    <t>MBPWO2311009</t>
  </si>
  <si>
    <t>MBPSI2401006</t>
  </si>
  <si>
    <t>VGY9225</t>
  </si>
  <si>
    <t>MBPWO2312005</t>
  </si>
  <si>
    <t>MBPSI2401007</t>
  </si>
  <si>
    <t>VHA8645</t>
  </si>
  <si>
    <t>MBPWO2311004</t>
  </si>
  <si>
    <t>MBPSI2401008</t>
  </si>
  <si>
    <t>SU7816G</t>
  </si>
  <si>
    <t>MBPWO2312004</t>
  </si>
  <si>
    <t>MBPSI2401009</t>
  </si>
  <si>
    <t>WC4350F</t>
  </si>
  <si>
    <t>MBPWO2401007</t>
  </si>
  <si>
    <t>CANCEL</t>
  </si>
  <si>
    <t>MBPSI2401010</t>
  </si>
  <si>
    <t>MBPWO2401006</t>
  </si>
  <si>
    <t>MBPSI2401011</t>
  </si>
  <si>
    <t>MBPSI2401012</t>
  </si>
  <si>
    <t>JQW3320</t>
  </si>
  <si>
    <t>MBPWO2401010</t>
  </si>
  <si>
    <t>MBPSI2401013</t>
  </si>
  <si>
    <t>VGL2124</t>
  </si>
  <si>
    <t>MBPWO2401008</t>
  </si>
  <si>
    <t>MBPSI2401014</t>
  </si>
  <si>
    <t>UMT221</t>
  </si>
  <si>
    <t>MBPWO2401009</t>
  </si>
  <si>
    <t>MBPSI2402001</t>
  </si>
  <si>
    <t>RAQ9297</t>
  </si>
  <si>
    <t>MBPWO2311002</t>
  </si>
  <si>
    <t>MBPSI2402002</t>
  </si>
  <si>
    <t>31841</t>
  </si>
  <si>
    <t>MBPWO2312003</t>
  </si>
  <si>
    <t>MBPSI2402003</t>
  </si>
  <si>
    <t>AKT3446</t>
  </si>
  <si>
    <t>MBPWO2402001</t>
  </si>
  <si>
    <t>MBPSI2402004</t>
  </si>
  <si>
    <t>QAB1974G</t>
  </si>
  <si>
    <t>MBPWO2402006</t>
  </si>
  <si>
    <t>MBPSI2403001</t>
  </si>
  <si>
    <t>MUHAMMAD FARIDDUDIN BIN SALLEH</t>
  </si>
  <si>
    <t>SMF9353</t>
  </si>
  <si>
    <t>MBPWO2403003</t>
  </si>
  <si>
    <t>MBPSI2403002</t>
  </si>
  <si>
    <t>TCF150</t>
  </si>
  <si>
    <t>MBPWO2403005</t>
  </si>
  <si>
    <t>MBPSI2403003</t>
  </si>
  <si>
    <t>VKU9306</t>
  </si>
  <si>
    <t>MBPWO2402004</t>
  </si>
  <si>
    <t>MBPSI2403004</t>
  </si>
  <si>
    <t>JUC1888</t>
  </si>
  <si>
    <t>MBPWO2403006</t>
  </si>
  <si>
    <t>MBPSI2403005</t>
  </si>
  <si>
    <t>CET5945</t>
  </si>
  <si>
    <t>MBPWO2402005</t>
  </si>
  <si>
    <t>MBPSI2403006</t>
  </si>
  <si>
    <t>CEH9366</t>
  </si>
  <si>
    <t>MBPWO2403004</t>
  </si>
  <si>
    <t>MBPSI2403007</t>
  </si>
  <si>
    <t>VKU7912</t>
  </si>
  <si>
    <t>MBPWO2401002</t>
  </si>
  <si>
    <t>MBPSI2403008</t>
  </si>
  <si>
    <t>JDE5445</t>
  </si>
  <si>
    <t>MBPWO2403002</t>
  </si>
  <si>
    <t>MBPSI2403009</t>
  </si>
  <si>
    <t>SMK6928</t>
  </si>
  <si>
    <t>MBPWO2402010</t>
  </si>
  <si>
    <t>MBPSI2403010</t>
  </si>
  <si>
    <t>MBPWO2401005</t>
  </si>
  <si>
    <t>MBPSI2403011</t>
  </si>
  <si>
    <t>VJJ9120</t>
  </si>
  <si>
    <t>MBPWO2402003</t>
  </si>
  <si>
    <t>MBPSI2403012</t>
  </si>
  <si>
    <t>AMK4010</t>
  </si>
  <si>
    <t>MBPWO2402002</t>
  </si>
  <si>
    <t>MBPSI2403013</t>
  </si>
  <si>
    <t>MOHD RUKMAN BIN ABU HASAN</t>
  </si>
  <si>
    <t>DET1782</t>
  </si>
  <si>
    <t>MBPWO2403009</t>
  </si>
  <si>
    <t>MBPSI2403014</t>
  </si>
  <si>
    <t>SAIFUL AZHAR BIN IBRAHIM</t>
  </si>
  <si>
    <t>WWS7678</t>
  </si>
  <si>
    <t>MBPWO2403011</t>
  </si>
  <si>
    <t>MBPSI2403015</t>
  </si>
  <si>
    <t>DEQ7921</t>
  </si>
  <si>
    <t>MBPWO2403008</t>
  </si>
  <si>
    <t>MBPSI2404001</t>
  </si>
  <si>
    <t>SU3892F</t>
  </si>
  <si>
    <t>MBPWO2403007</t>
  </si>
  <si>
    <t>MBPSI2404002</t>
  </si>
  <si>
    <t>CEM7985</t>
  </si>
  <si>
    <t>MBPWO2403013</t>
  </si>
  <si>
    <t>MBPSI2404003</t>
  </si>
  <si>
    <t>WA4150C</t>
  </si>
  <si>
    <t>MBPWO2403001</t>
  </si>
  <si>
    <t>MBPSI2404004</t>
  </si>
  <si>
    <t>KFQ7001</t>
  </si>
  <si>
    <t>MBPWO2402011</t>
  </si>
  <si>
    <t>MBPSI2404005</t>
  </si>
  <si>
    <t>BQQ2927</t>
  </si>
  <si>
    <t>MBPWO2404001</t>
  </si>
  <si>
    <t>MBPSI2404006</t>
  </si>
  <si>
    <t>CEP8036</t>
  </si>
  <si>
    <t>MBPWO2312001</t>
  </si>
  <si>
    <t>MBPSI2404007</t>
  </si>
  <si>
    <t>ANE7068</t>
  </si>
  <si>
    <t>MBPWO2403010</t>
  </si>
  <si>
    <t>MBPSI2404008</t>
  </si>
  <si>
    <t>VFS7165</t>
  </si>
  <si>
    <t>MBPWO2404002</t>
  </si>
  <si>
    <t>MBPSI2404009</t>
  </si>
  <si>
    <t>VKT9413</t>
  </si>
  <si>
    <t>MBPWO2403012</t>
  </si>
  <si>
    <t>MBPSI2404010</t>
  </si>
  <si>
    <t>VBK4937</t>
  </si>
  <si>
    <t>MBPWO2404005</t>
  </si>
  <si>
    <t>MBPSI2404011</t>
  </si>
  <si>
    <t>QM8084J</t>
  </si>
  <si>
    <t>MBPWO2404008</t>
  </si>
  <si>
    <t>MBPSI2404012</t>
  </si>
  <si>
    <t>VFN5440</t>
  </si>
  <si>
    <t>MBPWO2404009</t>
  </si>
  <si>
    <t>MBPSI2404013</t>
  </si>
  <si>
    <t>MBPSI2404014</t>
  </si>
  <si>
    <t>092747</t>
  </si>
  <si>
    <t>MBPWO2404011</t>
  </si>
  <si>
    <t>MBPSI2404015</t>
  </si>
  <si>
    <t>087055</t>
  </si>
  <si>
    <t>MBPWO2404013</t>
  </si>
  <si>
    <t>MBPSI2404016</t>
  </si>
  <si>
    <t>095074</t>
  </si>
  <si>
    <t>MBPWO2404012</t>
  </si>
  <si>
    <t>MBPSI2404017</t>
  </si>
  <si>
    <t>092726</t>
  </si>
  <si>
    <t>MBPWO2404014</t>
  </si>
  <si>
    <t>MBPSI2404018</t>
  </si>
  <si>
    <t>QM8801L</t>
  </si>
  <si>
    <t>MBPWO2404004</t>
  </si>
  <si>
    <t>MBPSI2405001</t>
  </si>
  <si>
    <t>MBPWO2405004</t>
  </si>
  <si>
    <t>MBPSI2405002</t>
  </si>
  <si>
    <t>QAB7524H</t>
  </si>
  <si>
    <t>MBPWO2404015</t>
  </si>
  <si>
    <t>MBPSI2405003</t>
  </si>
  <si>
    <t>VHJ2847</t>
  </si>
  <si>
    <t>MBPWO2404007</t>
  </si>
  <si>
    <t>MBPSI2405004</t>
  </si>
  <si>
    <t>MBPWO2404010</t>
  </si>
  <si>
    <t>MBPSI2405005</t>
  </si>
  <si>
    <t>092751</t>
  </si>
  <si>
    <t>MBPWO2405010</t>
  </si>
  <si>
    <t>MBPSI2405006</t>
  </si>
  <si>
    <t>082926</t>
  </si>
  <si>
    <t>MBPQN00010</t>
  </si>
  <si>
    <t>MBPSI2405007</t>
  </si>
  <si>
    <t>092504</t>
  </si>
  <si>
    <t>MBPWO2405012</t>
  </si>
  <si>
    <t>MBPSI2405008</t>
  </si>
  <si>
    <t>092534</t>
  </si>
  <si>
    <t>MBPWO2405014</t>
  </si>
  <si>
    <t>MBPSI2405009</t>
  </si>
  <si>
    <t>VKU5342</t>
  </si>
  <si>
    <t>MBPWO2405001</t>
  </si>
  <si>
    <t>MBPSI2405010</t>
  </si>
  <si>
    <t>VJY9012</t>
  </si>
  <si>
    <t>MBPWO2405008</t>
  </si>
  <si>
    <t>MBPSI2405011</t>
  </si>
  <si>
    <t>VLK6742</t>
  </si>
  <si>
    <t>MBPWO2405003</t>
  </si>
  <si>
    <t>MBPSI2405012</t>
  </si>
  <si>
    <t>CEK9753</t>
  </si>
  <si>
    <t>MBPWO2405006</t>
  </si>
  <si>
    <t>MBPSI2405013</t>
  </si>
  <si>
    <t>VKB4059</t>
  </si>
  <si>
    <t>MBPWO2405007</t>
  </si>
  <si>
    <t>MBPSI2405014</t>
  </si>
  <si>
    <t>VGH9547</t>
  </si>
  <si>
    <t>MBPWO2405002</t>
  </si>
  <si>
    <t>MBPSI2405015</t>
  </si>
  <si>
    <t>SMK567</t>
  </si>
  <si>
    <t>MBPWO2405017</t>
  </si>
  <si>
    <t>MBPSI2405016</t>
  </si>
  <si>
    <t>VJA1216</t>
  </si>
  <si>
    <t>MBPWO2405013</t>
  </si>
  <si>
    <t>MBPSI2405017</t>
  </si>
  <si>
    <t>DEX4730</t>
  </si>
  <si>
    <t>MBPWO2404016</t>
  </si>
  <si>
    <t>MBPSI2405018</t>
  </si>
  <si>
    <t>CEV7882</t>
  </si>
  <si>
    <t>MBPWO2405016</t>
  </si>
  <si>
    <t>MBPSI2405019</t>
  </si>
  <si>
    <t>WC1588B</t>
  </si>
  <si>
    <t>MBPWO2405022</t>
  </si>
  <si>
    <t>MBPSI2406001</t>
  </si>
  <si>
    <t>CEV8030</t>
  </si>
  <si>
    <t>MBPWO2405015</t>
  </si>
  <si>
    <t>MBPSI2406002</t>
  </si>
  <si>
    <t>VKR1273</t>
  </si>
  <si>
    <t>MBPWO2405019</t>
  </si>
  <si>
    <t>MBPSI2406003</t>
  </si>
  <si>
    <t>VHL7999</t>
  </si>
  <si>
    <t>MBPWO2405011</t>
  </si>
  <si>
    <t>MBPSI2406004</t>
  </si>
  <si>
    <t>VEQ8560</t>
  </si>
  <si>
    <t>MBPWO2405005</t>
  </si>
  <si>
    <t>MBPSI2406005</t>
  </si>
  <si>
    <t>SB3611H</t>
  </si>
  <si>
    <t>MBPWO2406004</t>
  </si>
  <si>
    <t>MBPSI2406006</t>
  </si>
  <si>
    <t>QRT1391</t>
  </si>
  <si>
    <t>MBPWO2406002</t>
  </si>
  <si>
    <t>MBPSI2406007</t>
  </si>
  <si>
    <t>PQU977</t>
  </si>
  <si>
    <t>MBPWO2406009</t>
  </si>
  <si>
    <t>MBPSI2406008</t>
  </si>
  <si>
    <t>BRL1188</t>
  </si>
  <si>
    <t>MBPWO2406003</t>
  </si>
  <si>
    <t>MBPSI2406009</t>
  </si>
  <si>
    <t>TAN KIAT HUAT</t>
  </si>
  <si>
    <t>FE8298</t>
  </si>
  <si>
    <t>MBPWO2406011</t>
  </si>
  <si>
    <t>MBPSI2406010</t>
  </si>
  <si>
    <t>MBPWO2405009</t>
  </si>
  <si>
    <t>MBPSI2406011</t>
  </si>
  <si>
    <t>VGD4608</t>
  </si>
  <si>
    <t>MBPWO2404017</t>
  </si>
  <si>
    <t>MBPSI2407001</t>
  </si>
  <si>
    <t>JUE9323</t>
  </si>
  <si>
    <t>MBPWO2405020</t>
  </si>
  <si>
    <t>MBPSI2407002</t>
  </si>
  <si>
    <t>CDS5872</t>
  </si>
  <si>
    <t>MBPWO2404006</t>
  </si>
  <si>
    <t>MBPSI2407003</t>
  </si>
  <si>
    <t>KFD7811</t>
  </si>
  <si>
    <t>MBPWO2406007</t>
  </si>
  <si>
    <t>MBPSI2407004</t>
  </si>
  <si>
    <t>SD1242W</t>
  </si>
  <si>
    <t>MBPWO2405021</t>
  </si>
  <si>
    <t>MBPSI2407005</t>
  </si>
  <si>
    <t>CET8981</t>
  </si>
  <si>
    <t>MBPWO2402008</t>
  </si>
  <si>
    <t>MBPSI2407006</t>
  </si>
  <si>
    <t>BRE5839</t>
  </si>
  <si>
    <t>MBPWO2407004</t>
  </si>
  <si>
    <t>MBPSI2407007</t>
  </si>
  <si>
    <t>BPV6531</t>
  </si>
  <si>
    <t>MBPWO2406006</t>
  </si>
  <si>
    <t>MBPSI2407008</t>
  </si>
  <si>
    <t>MARZUKI BIN MOHAMAD</t>
  </si>
  <si>
    <t>JUK1169</t>
  </si>
  <si>
    <t>MBPWO2407010</t>
  </si>
  <si>
    <t>MBPSI2407009</t>
  </si>
  <si>
    <t>CEV3938</t>
  </si>
  <si>
    <t>MBPWO2406013</t>
  </si>
  <si>
    <t>MBPSI2407010</t>
  </si>
  <si>
    <t>CET1019</t>
  </si>
  <si>
    <t>MBPWO2407007</t>
  </si>
  <si>
    <t>MBPSI2407011</t>
  </si>
  <si>
    <t>VGS8456</t>
  </si>
  <si>
    <t>MBPWO2401004</t>
  </si>
  <si>
    <t>MBPSI2407012</t>
  </si>
  <si>
    <t>MBPWO2407009</t>
  </si>
  <si>
    <t>MBPSI2407013</t>
  </si>
  <si>
    <t>VHV6971</t>
  </si>
  <si>
    <t>MBPWO2407001</t>
  </si>
  <si>
    <t>MBPSI2407014</t>
  </si>
  <si>
    <t>MDR1242</t>
  </si>
  <si>
    <t>MBPWO2407012</t>
  </si>
  <si>
    <t>MBPSI2408001</t>
  </si>
  <si>
    <t>40379</t>
  </si>
  <si>
    <t>MBPWO2407013</t>
  </si>
  <si>
    <t>MBPSI2408002</t>
  </si>
  <si>
    <t>39826</t>
  </si>
  <si>
    <t>MBPWO2407011</t>
  </si>
  <si>
    <t>MBPSI2408003</t>
  </si>
  <si>
    <t>KAVI MANI A/L KESAVAN</t>
  </si>
  <si>
    <t>VHX1188</t>
  </si>
  <si>
    <t>MBPWO2407018</t>
  </si>
  <si>
    <t>MBPSI2408004</t>
  </si>
  <si>
    <t>MBPWO2405018</t>
  </si>
  <si>
    <t>MBPSI2408005</t>
  </si>
  <si>
    <t>VMM6025</t>
  </si>
  <si>
    <t>MBPWO2407008</t>
  </si>
  <si>
    <t>MBPSI2408006</t>
  </si>
  <si>
    <t>RAP662</t>
  </si>
  <si>
    <t>MBPWO2407002</t>
  </si>
  <si>
    <t>MBPSI2408007</t>
  </si>
  <si>
    <t>CDM9987</t>
  </si>
  <si>
    <t>MBPWO2406008</t>
  </si>
  <si>
    <t>MBPSI2408008</t>
  </si>
  <si>
    <t>MBPWO2408002</t>
  </si>
  <si>
    <t>MBPSI2408009</t>
  </si>
  <si>
    <t>038618</t>
  </si>
  <si>
    <t>MBPQN00014</t>
  </si>
  <si>
    <t>MBPSI2408010</t>
  </si>
  <si>
    <t>DEU8384</t>
  </si>
  <si>
    <t>MBPWO2408001</t>
  </si>
  <si>
    <t>MBPSI2408011</t>
  </si>
  <si>
    <t>CET4907</t>
  </si>
  <si>
    <t>MBPWO2406001</t>
  </si>
  <si>
    <t>MBPSI2408012</t>
  </si>
  <si>
    <t>38904</t>
  </si>
  <si>
    <t>MBPWO2407005</t>
  </si>
  <si>
    <t>MBPSI2408013</t>
  </si>
  <si>
    <t>MBPWO2408008</t>
  </si>
  <si>
    <t>MBPSI2408014</t>
  </si>
  <si>
    <t>MBPWO2406010</t>
  </si>
  <si>
    <t>MBPSI2408015</t>
  </si>
  <si>
    <t>DEC4937</t>
  </si>
  <si>
    <t>MBPWO2407003</t>
  </si>
  <si>
    <t>MBPSI2408016</t>
  </si>
  <si>
    <t>VGG8784</t>
  </si>
  <si>
    <t>MBPWO2407014</t>
  </si>
  <si>
    <t>MBPSI2408017</t>
  </si>
  <si>
    <t>CET1940</t>
  </si>
  <si>
    <t>MBPWO2408006</t>
  </si>
  <si>
    <t>MBPSI2409001</t>
  </si>
  <si>
    <t>MBPWO2408003</t>
  </si>
  <si>
    <t>MBPSI2409002</t>
  </si>
  <si>
    <t>A1587</t>
  </si>
  <si>
    <t>MBPWO2409004</t>
  </si>
  <si>
    <t>MBPSI2409003</t>
  </si>
  <si>
    <t>A1609</t>
  </si>
  <si>
    <t>MBPWO2409006</t>
  </si>
  <si>
    <t>MBPSI2409004</t>
  </si>
  <si>
    <t>A2786</t>
  </si>
  <si>
    <t>MBPWO2409005</t>
  </si>
  <si>
    <t>MBPSI2409005</t>
  </si>
  <si>
    <t>CEU7751</t>
  </si>
  <si>
    <t>MBPWO2408010</t>
  </si>
  <si>
    <t>MBPSI2409006</t>
  </si>
  <si>
    <t>38877</t>
  </si>
  <si>
    <t>MBPWO2408005</t>
  </si>
  <si>
    <t>MBPSI2409007</t>
  </si>
  <si>
    <t>SD7507V</t>
  </si>
  <si>
    <t>MBPWO2409003</t>
  </si>
  <si>
    <t>MBPSI2409008</t>
  </si>
  <si>
    <t>MBPWO2408004</t>
  </si>
  <si>
    <t>MBPSI2409009</t>
  </si>
  <si>
    <t>CEM6013</t>
  </si>
  <si>
    <t>MBPWO2408012</t>
  </si>
  <si>
    <t>MBPSI2409010</t>
  </si>
  <si>
    <t>SYQ8539</t>
  </si>
  <si>
    <t>MBPWO2408011</t>
  </si>
  <si>
    <t>MBPSI2409011</t>
  </si>
  <si>
    <t>SITI KHALIJAH BINTI ABDUL RAHID @ YUSOFF</t>
  </si>
  <si>
    <t>DEH2976</t>
  </si>
  <si>
    <t>MBPWO2409014</t>
  </si>
  <si>
    <t>MBPSI2409012</t>
  </si>
  <si>
    <t>DEM7983</t>
  </si>
  <si>
    <t>MBPWO2409013</t>
  </si>
  <si>
    <t>MBPSI2409013</t>
  </si>
  <si>
    <t>CER4073</t>
  </si>
  <si>
    <t>MBPWO2409007</t>
  </si>
  <si>
    <t>MBPSI2409014</t>
  </si>
  <si>
    <t>VBG6968</t>
  </si>
  <si>
    <t>MBPWO2409009</t>
  </si>
  <si>
    <t>MBPSI2410001</t>
  </si>
  <si>
    <t>VLW4911</t>
  </si>
  <si>
    <t>MBPWO2408013</t>
  </si>
  <si>
    <t>MBPSI2410002</t>
  </si>
  <si>
    <t>VKF5277</t>
  </si>
  <si>
    <t>MBPWO2409001</t>
  </si>
  <si>
    <t>MBPSI2410003</t>
  </si>
  <si>
    <t>VKE4136</t>
  </si>
  <si>
    <t>MBPWO2409017</t>
  </si>
  <si>
    <t>MBPSI2410004</t>
  </si>
  <si>
    <t>VKU7906</t>
  </si>
  <si>
    <t>MBPWO2409010</t>
  </si>
  <si>
    <t>MBPSI2410005</t>
  </si>
  <si>
    <t>RAJA MOHD NOR HASRAN BIN RAJA MOHD NOR</t>
  </si>
  <si>
    <t>VHY5516</t>
  </si>
  <si>
    <t>MBPWO2410005</t>
  </si>
  <si>
    <t>MBPSI2410006</t>
  </si>
  <si>
    <t>JWD8854</t>
  </si>
  <si>
    <t>MBPWO2408007</t>
  </si>
  <si>
    <t>MBPSI2410007</t>
  </si>
  <si>
    <t>TCQ4559</t>
  </si>
  <si>
    <t>MBPWO2409011</t>
  </si>
  <si>
    <t>MBPSI2410008</t>
  </si>
  <si>
    <t>VBF24</t>
  </si>
  <si>
    <t>MBPWO2410003</t>
  </si>
  <si>
    <t>MBPSI2410009</t>
  </si>
  <si>
    <t>DDY3103</t>
  </si>
  <si>
    <t>MBPWO2409002</t>
  </si>
  <si>
    <t>MBPSI2410010</t>
  </si>
  <si>
    <t>MBPWO2409015</t>
  </si>
  <si>
    <t>MBPSI2410011</t>
  </si>
  <si>
    <t>VLS5027</t>
  </si>
  <si>
    <t>MBPWO2409012</t>
  </si>
  <si>
    <t>MBPSI2410012</t>
  </si>
  <si>
    <t>SMN3077</t>
  </si>
  <si>
    <t>MBPWO2410007</t>
  </si>
  <si>
    <t>MBPSI2410013</t>
  </si>
  <si>
    <t>CEP7703</t>
  </si>
  <si>
    <t>MBPWO2410006</t>
  </si>
  <si>
    <t>MBPSI2410014</t>
  </si>
  <si>
    <t>SB3112G</t>
  </si>
  <si>
    <t>MBPWO2410010</t>
  </si>
  <si>
    <t>MBPSI2410015</t>
  </si>
  <si>
    <t>DEN4344</t>
  </si>
  <si>
    <t>MBPWO2410008</t>
  </si>
  <si>
    <t>MBPSI2410016</t>
  </si>
  <si>
    <t>B00050</t>
  </si>
  <si>
    <t>MBPWO2409019</t>
  </si>
  <si>
    <t>MBPSI2410017</t>
  </si>
  <si>
    <t>JURIYATI BINTI JAAFAR</t>
  </si>
  <si>
    <t>SJ9860</t>
  </si>
  <si>
    <t>MBPWO2410012</t>
  </si>
  <si>
    <t>MBPSI2410018</t>
  </si>
  <si>
    <t>MBPWO2410009</t>
  </si>
  <si>
    <t>MBPSI2411001</t>
  </si>
  <si>
    <t>CCM4466</t>
  </si>
  <si>
    <t>MBPWO2410001</t>
  </si>
  <si>
    <t>MBPSI2411002</t>
  </si>
  <si>
    <t>UMT9088</t>
  </si>
  <si>
    <t>MBPWO2410002</t>
  </si>
  <si>
    <t>MBPSI2411003</t>
  </si>
  <si>
    <t>SHAKIELA BINTI ABU BAKAR</t>
  </si>
  <si>
    <t>MBPWO2411004</t>
  </si>
  <si>
    <t>MBPSI2411004</t>
  </si>
  <si>
    <t>MDM7538</t>
  </si>
  <si>
    <t>MBPWO2409008</t>
  </si>
  <si>
    <t>MBPSI2411005</t>
  </si>
  <si>
    <t>CEW8505</t>
  </si>
  <si>
    <t>MBPWO2411003</t>
  </si>
  <si>
    <t>MBPSI2411006</t>
  </si>
  <si>
    <t>CEW9447</t>
  </si>
  <si>
    <t>MBPWO2410011</t>
  </si>
  <si>
    <t>MBPSI2411007</t>
  </si>
  <si>
    <t>QRS5202</t>
  </si>
  <si>
    <t>MBPWO2411002</t>
  </si>
  <si>
    <t>MBPSI2411008</t>
  </si>
  <si>
    <t>BRL3034</t>
  </si>
  <si>
    <t>MBPWO2411007</t>
  </si>
  <si>
    <t>MBPSI2411009</t>
  </si>
  <si>
    <t>PAN67</t>
  </si>
  <si>
    <t>MBPWO2411005</t>
  </si>
  <si>
    <t>MBPSI2411010</t>
  </si>
  <si>
    <t>WEW72</t>
  </si>
  <si>
    <t>MBPWO2411008</t>
  </si>
  <si>
    <t>MBPSI2411011</t>
  </si>
  <si>
    <t>MBPWO2411001</t>
  </si>
  <si>
    <t>MBPSI2411012</t>
  </si>
  <si>
    <t>NDU3990</t>
  </si>
  <si>
    <t>MBPWO2411006</t>
  </si>
  <si>
    <t>MBPSI2411013</t>
  </si>
  <si>
    <t>VJE5631</t>
  </si>
  <si>
    <t>MBPWO2409018</t>
  </si>
  <si>
    <t>MBPSI2412001</t>
  </si>
  <si>
    <t>PPM6788</t>
  </si>
  <si>
    <t>MBPWO2410013</t>
  </si>
  <si>
    <t>MBPSI2412002</t>
  </si>
  <si>
    <t>VMB4767</t>
  </si>
  <si>
    <t>MBPWO2411009</t>
  </si>
  <si>
    <t>MBPSI2412003</t>
  </si>
  <si>
    <t>VHM3910</t>
  </si>
  <si>
    <t>MBPWO2412005</t>
  </si>
  <si>
    <t>MBPSI2412004</t>
  </si>
  <si>
    <t>DEK7608</t>
  </si>
  <si>
    <t>MBPWO2412006</t>
  </si>
  <si>
    <t>MBPSI2412005</t>
  </si>
  <si>
    <t>VFK7866</t>
  </si>
  <si>
    <t>MBPWO2412004</t>
  </si>
  <si>
    <t>MBPSI2412006</t>
  </si>
  <si>
    <t>JWH6944</t>
  </si>
  <si>
    <t>MBPWO2412003</t>
  </si>
  <si>
    <t>MBPSI2412007</t>
  </si>
  <si>
    <t>DEX6857</t>
  </si>
  <si>
    <t>MBPWO2412009</t>
  </si>
  <si>
    <t>MBPSI2412008</t>
  </si>
  <si>
    <t>VFS8301</t>
  </si>
  <si>
    <t>MBPWO2412017</t>
  </si>
  <si>
    <t>MBPSI2412009</t>
  </si>
  <si>
    <t>SU7784G</t>
  </si>
  <si>
    <t>MBPWO2412014</t>
  </si>
  <si>
    <t>SVC TYPE</t>
  </si>
  <si>
    <t>CREDIT</t>
  </si>
  <si>
    <t xml:space="preserve">  </t>
  </si>
  <si>
    <t>JAN</t>
  </si>
  <si>
    <t>FEB</t>
  </si>
  <si>
    <t>APR</t>
  </si>
  <si>
    <t>MAY</t>
  </si>
  <si>
    <t>JUNE</t>
  </si>
  <si>
    <t>AUG</t>
  </si>
  <si>
    <t>SEP</t>
  </si>
  <si>
    <t>OCT</t>
  </si>
  <si>
    <t>NOV</t>
  </si>
  <si>
    <t>DEC</t>
  </si>
  <si>
    <t>MAR</t>
  </si>
  <si>
    <t>TRAINING</t>
  </si>
  <si>
    <t>SCREEN REPLACEMENT</t>
  </si>
  <si>
    <t>RD</t>
  </si>
  <si>
    <t>AUTO RAYA SDN BHD</t>
  </si>
  <si>
    <t>FASSI2401001</t>
  </si>
  <si>
    <t>LCH TRANSPORT &amp; SERVICE SDN BHD</t>
  </si>
  <si>
    <t>VKP8555</t>
  </si>
  <si>
    <t>FASWO2401001</t>
  </si>
  <si>
    <t>FASSI2401002</t>
  </si>
  <si>
    <t>FU SHENG TRADING</t>
  </si>
  <si>
    <t>CDE2118</t>
  </si>
  <si>
    <t>FASWO2401002</t>
  </si>
  <si>
    <t>FASSI2401003</t>
  </si>
  <si>
    <t>LHL MARKETING</t>
  </si>
  <si>
    <t>AMR3233</t>
  </si>
  <si>
    <t>FASWO2401003</t>
  </si>
  <si>
    <t>FASSI2403001</t>
  </si>
  <si>
    <t>UKM 2118</t>
  </si>
  <si>
    <t>FASWO2402001</t>
  </si>
  <si>
    <t>FASSI2403002</t>
  </si>
  <si>
    <t>REDHA CONSTRUCTIONS</t>
  </si>
  <si>
    <t>BRM1186</t>
  </si>
  <si>
    <t>FASWO2403001</t>
  </si>
  <si>
    <t>FASSI2403003</t>
  </si>
  <si>
    <t>ENG GUAN AGRICULTURE SDN BHD</t>
  </si>
  <si>
    <t>NDV7169</t>
  </si>
  <si>
    <t>FASWO2403002</t>
  </si>
  <si>
    <t>FASSI2403004</t>
  </si>
  <si>
    <t>FASWO2403003</t>
  </si>
  <si>
    <t>FASSI2403005</t>
  </si>
  <si>
    <t>FASWO2403006</t>
  </si>
  <si>
    <t>FASSI2404001</t>
  </si>
  <si>
    <t>FM GLOBAL LOGISTICS (M) SDN BHD</t>
  </si>
  <si>
    <t>VHS9530</t>
  </si>
  <si>
    <t>FASWO2404001</t>
  </si>
  <si>
    <t>FASSI2404002</t>
  </si>
  <si>
    <t>ASMAWI CONSTRUCTION</t>
  </si>
  <si>
    <t>VLW3392</t>
  </si>
  <si>
    <t>FASWO2404002</t>
  </si>
  <si>
    <t>FASSI2404003</t>
  </si>
  <si>
    <t>H&amp;M TRANSPORT</t>
  </si>
  <si>
    <t>RAT9186</t>
  </si>
  <si>
    <t>FASWO2403005</t>
  </si>
  <si>
    <t>FASSI2404004</t>
  </si>
  <si>
    <t>FASWO2404003</t>
  </si>
  <si>
    <t>FASSI2405001</t>
  </si>
  <si>
    <t>FASWO2405001</t>
  </si>
  <si>
    <t>FASSI2405002</t>
  </si>
  <si>
    <t>FASWO2405002</t>
  </si>
  <si>
    <t>FASSI2406001</t>
  </si>
  <si>
    <t>GOH PENG LENG</t>
  </si>
  <si>
    <t>PPL7533</t>
  </si>
  <si>
    <t>FASWO2406004</t>
  </si>
  <si>
    <t>FASSI2406002</t>
  </si>
  <si>
    <t>FASWO2406001</t>
  </si>
  <si>
    <t>FASSI2406003</t>
  </si>
  <si>
    <t>FASWO2406002</t>
  </si>
  <si>
    <t>FASSI2406004</t>
  </si>
  <si>
    <t>FASWO2406003</t>
  </si>
  <si>
    <t>FASSI2406005</t>
  </si>
  <si>
    <t>MOHD RODZUAN BIN BEDOLLAH</t>
  </si>
  <si>
    <t>MDR5421</t>
  </si>
  <si>
    <t>FASWO2406005</t>
  </si>
  <si>
    <t>FASSI2407001</t>
  </si>
  <si>
    <t>YPF SAWIT TRADING</t>
  </si>
  <si>
    <t>JWC1993</t>
  </si>
  <si>
    <t>FASWO2407001</t>
  </si>
  <si>
    <t>FASSI2407002</t>
  </si>
  <si>
    <t>KENASAN TRADINGS</t>
  </si>
  <si>
    <t>SK5448E</t>
  </si>
  <si>
    <t>FASWO2407002</t>
  </si>
  <si>
    <t>FASSI2409001</t>
  </si>
  <si>
    <t>FASWO2409001</t>
  </si>
  <si>
    <t>FASSI2409002</t>
  </si>
  <si>
    <t>FASWO2409002</t>
  </si>
  <si>
    <t>FASSI2409003</t>
  </si>
  <si>
    <t>FASWO2409003</t>
  </si>
  <si>
    <t>FASSI2409004</t>
  </si>
  <si>
    <t>7018327</t>
  </si>
  <si>
    <t>FASWO2409006</t>
  </si>
  <si>
    <t>FASSI2410001</t>
  </si>
  <si>
    <t>FASWO2410001</t>
  </si>
  <si>
    <t>FASSI2410002</t>
  </si>
  <si>
    <t>FASWO2410003</t>
  </si>
  <si>
    <t>FASSI2411001</t>
  </si>
  <si>
    <t>FASWO2411001</t>
  </si>
  <si>
    <t>FASSI2411002</t>
  </si>
  <si>
    <t>FASWO2411002</t>
  </si>
  <si>
    <t>FASSI2411003</t>
  </si>
  <si>
    <t>FASWO2411003</t>
  </si>
  <si>
    <t>FASSI2411004</t>
  </si>
  <si>
    <t>FASWO2411004</t>
  </si>
  <si>
    <t>FASSI2411005</t>
  </si>
  <si>
    <t>FASWO2411005</t>
  </si>
  <si>
    <t>FASSI2411006</t>
  </si>
  <si>
    <t>FASWO2411006</t>
  </si>
  <si>
    <t>FASSI2411007</t>
  </si>
  <si>
    <t>FASWO2411007</t>
  </si>
  <si>
    <t>FASSI2411008</t>
  </si>
  <si>
    <t>FASWO2411008</t>
  </si>
  <si>
    <t>FASSI2411009</t>
  </si>
  <si>
    <t>FASWO2411009</t>
  </si>
  <si>
    <t>FASSI2411010</t>
  </si>
  <si>
    <t>FASWO2411010</t>
  </si>
  <si>
    <t>FASSI2411011</t>
  </si>
  <si>
    <t>FASWO2411011</t>
  </si>
  <si>
    <t>FASSI2411012</t>
  </si>
  <si>
    <t>FASWO2408001</t>
  </si>
  <si>
    <t>FASSI2412001</t>
  </si>
  <si>
    <t>FASWO2412001</t>
  </si>
  <si>
    <t>FASSI2412002</t>
  </si>
  <si>
    <t>TRUCK-LINK AUTO PARTS SDN BHD</t>
  </si>
  <si>
    <t>VGQ1734</t>
  </si>
  <si>
    <t>FASWO2403007</t>
  </si>
  <si>
    <t>FASSI2412003</t>
  </si>
  <si>
    <t>VFP3816</t>
  </si>
  <si>
    <t>FASWO2412002</t>
  </si>
  <si>
    <t>MONTH</t>
  </si>
  <si>
    <t>INV</t>
  </si>
  <si>
    <t>WARRANTY CLAIM LISTING</t>
  </si>
  <si>
    <t>CLAIM NO</t>
  </si>
  <si>
    <t>CLAIM TO</t>
  </si>
  <si>
    <t>INVOICE NO</t>
  </si>
  <si>
    <t>REGNO</t>
  </si>
  <si>
    <t>PART</t>
  </si>
  <si>
    <t>LABOUR</t>
  </si>
  <si>
    <t>AMOUNT</t>
  </si>
  <si>
    <t>FASWC2403001</t>
  </si>
  <si>
    <t>HAP SENG TRUCK DISTRIBUTION SDN BHD</t>
  </si>
  <si>
    <t>FASWC2404001</t>
  </si>
  <si>
    <t>FASWC2405001</t>
  </si>
  <si>
    <t>FASWC2410001</t>
  </si>
  <si>
    <t>FASWC2411001</t>
  </si>
  <si>
    <t>FASFS2401001</t>
  </si>
  <si>
    <t>FASFS2403001</t>
  </si>
  <si>
    <t>FASFS2403002</t>
  </si>
  <si>
    <t>FASFS2403003</t>
  </si>
  <si>
    <t>FASFS2404001</t>
  </si>
  <si>
    <t>FASFS2404002</t>
  </si>
  <si>
    <t>FASFS2405001</t>
  </si>
  <si>
    <t>FASFS2406001</t>
  </si>
  <si>
    <t>FASFS2406002</t>
  </si>
  <si>
    <t>FASFS2406003</t>
  </si>
  <si>
    <t>FASFS2406004</t>
  </si>
  <si>
    <t>FASFS2407001</t>
  </si>
  <si>
    <t>FASFS2407002</t>
  </si>
  <si>
    <t>FASFS2409001</t>
  </si>
  <si>
    <t>FASFS2409002</t>
  </si>
  <si>
    <t>FASFS2409003</t>
  </si>
  <si>
    <t>FASFS2411001</t>
  </si>
  <si>
    <t>FASFS2411002</t>
  </si>
  <si>
    <t>FASFS2411003</t>
  </si>
  <si>
    <t>FASFS2412001</t>
  </si>
  <si>
    <t>FUSO INVOICE</t>
  </si>
  <si>
    <t xml:space="preserve"> INVOICE LISTING </t>
  </si>
  <si>
    <t>REFERENCE</t>
  </si>
  <si>
    <t>G.TOTAL</t>
  </si>
  <si>
    <t>HBPIV2401001</t>
  </si>
  <si>
    <t>HBPIV2401005</t>
  </si>
  <si>
    <t>STAFF USE</t>
  </si>
  <si>
    <t>HBPIV2404001</t>
  </si>
  <si>
    <t>HBPIV2405003</t>
  </si>
  <si>
    <t>WA6461G, XZU411-0006994</t>
  </si>
  <si>
    <t>HBPIV2406001</t>
  </si>
  <si>
    <t>BRA7133</t>
  </si>
  <si>
    <t>HBPIV2406002</t>
  </si>
  <si>
    <t>VEL5937</t>
  </si>
  <si>
    <t>HBPIV2406003</t>
  </si>
  <si>
    <t>HBPIV2407001</t>
  </si>
  <si>
    <t>HBPIV2408001</t>
  </si>
  <si>
    <t>NDW5114</t>
  </si>
  <si>
    <t>HBPIV2408002</t>
  </si>
  <si>
    <t>HBPIV2408003</t>
  </si>
  <si>
    <t>HBPIV2408004</t>
  </si>
  <si>
    <t>NDP2721</t>
  </si>
  <si>
    <t>HBPIV2408005</t>
  </si>
  <si>
    <t>HBPIV2409001</t>
  </si>
  <si>
    <t>BNM8561</t>
  </si>
  <si>
    <t>HBPIV2403001</t>
  </si>
  <si>
    <t>TSHIRT WITHDRAWAL</t>
  </si>
  <si>
    <t>HBPIV2403002</t>
  </si>
  <si>
    <t>HBPIV2403003</t>
  </si>
  <si>
    <t>HBPIV2403004</t>
  </si>
  <si>
    <t>HBPIV2403005</t>
  </si>
  <si>
    <t>HBPIV2403006</t>
  </si>
  <si>
    <t>HBPIV2403007</t>
  </si>
  <si>
    <t>HBPIV2405001</t>
  </si>
  <si>
    <t>HBPIV2405002</t>
  </si>
  <si>
    <t>HBPIV2410001</t>
  </si>
  <si>
    <t>HBPIV2411001</t>
  </si>
  <si>
    <t>HBPIV2412001</t>
  </si>
  <si>
    <t>NDS8129</t>
  </si>
  <si>
    <t>HBPIV2401002</t>
  </si>
  <si>
    <t>GIFT</t>
  </si>
  <si>
    <t>HBPIV2401003</t>
  </si>
  <si>
    <t>HBPIV2401004</t>
  </si>
  <si>
    <t>MBPIV2401001</t>
  </si>
  <si>
    <t>WITHDRAWAL</t>
  </si>
  <si>
    <t>MBPIV2403001</t>
  </si>
  <si>
    <t>MBPIV2403002</t>
  </si>
  <si>
    <t>MBPIV2403003</t>
  </si>
  <si>
    <t>MBPIV2403004</t>
  </si>
  <si>
    <t>MBPIV2403005</t>
  </si>
  <si>
    <t>MBPIV2403006</t>
  </si>
  <si>
    <t>MBPIV2403007</t>
  </si>
  <si>
    <t>MBPIV2403008</t>
  </si>
  <si>
    <t>MBPIV2403009</t>
  </si>
  <si>
    <t>MBPIV2403010</t>
  </si>
  <si>
    <t>MBPIV2403011</t>
  </si>
  <si>
    <t>MBPIV2403013</t>
  </si>
  <si>
    <t>MBPIV2403014</t>
  </si>
  <si>
    <t>MBPIV2403015</t>
  </si>
  <si>
    <t>MBPIV2404001</t>
  </si>
  <si>
    <t>MBPIV2404002</t>
  </si>
  <si>
    <t>MBPIV2404003</t>
  </si>
  <si>
    <t>MBPIV2404004</t>
  </si>
  <si>
    <t>MBPIV2405001</t>
  </si>
  <si>
    <t>MBPIV2405002</t>
  </si>
  <si>
    <t>MBPIV2405003</t>
  </si>
  <si>
    <t>MBPIV2406001</t>
  </si>
  <si>
    <t>MBPIV2406002</t>
  </si>
  <si>
    <t>MBPIV2407001</t>
  </si>
  <si>
    <t>RAP7023</t>
  </si>
  <si>
    <t>MBPIV2407002</t>
  </si>
  <si>
    <t>MBPIV2408001</t>
  </si>
  <si>
    <t>MBPIV2408002</t>
  </si>
  <si>
    <t>MBPIV2408003</t>
  </si>
  <si>
    <t>MBPIV2410001</t>
  </si>
  <si>
    <t>DES4884</t>
  </si>
  <si>
    <t>MBPIV2410002</t>
  </si>
  <si>
    <t>MBPIV2410003</t>
  </si>
  <si>
    <t>MBPIV2411001</t>
  </si>
  <si>
    <t>PARKING FEES</t>
  </si>
  <si>
    <t>MBPIV2411002</t>
  </si>
  <si>
    <t>MTKB TECH EXPERT TINT ENTERPRISE</t>
  </si>
  <si>
    <t>MBPIV2411003</t>
  </si>
  <si>
    <t>TCT6503</t>
  </si>
  <si>
    <t>MBPIV2411004</t>
  </si>
  <si>
    <t>MBPIV2412001</t>
  </si>
  <si>
    <t>MBPIV2412002</t>
  </si>
  <si>
    <t>MBPIV2412003</t>
  </si>
  <si>
    <t>MBPIV2412004</t>
  </si>
  <si>
    <t>AJU6784</t>
  </si>
  <si>
    <t>MBPIV2403012</t>
  </si>
  <si>
    <t>** ALL THE PROCESSING FEE, EXCESS FEE, 2F CLAIMS TO BE RECOGNISE UNDER ACCIDENT &amp; WINDSCREEN (CREDIT COLUMN).</t>
  </si>
  <si>
    <t>REMARKS:</t>
  </si>
  <si>
    <t>MBPSI2501001</t>
  </si>
  <si>
    <t>BRV5220</t>
  </si>
  <si>
    <t>MBPWO2412002</t>
  </si>
  <si>
    <t>MBPSI2501002</t>
  </si>
  <si>
    <t>XX6557</t>
  </si>
  <si>
    <t>MBPWO2412015</t>
  </si>
  <si>
    <t>MBPSI2501003</t>
  </si>
  <si>
    <t>VHP42</t>
  </si>
  <si>
    <t>MBPWO2412007</t>
  </si>
  <si>
    <t>MBPSI2501004</t>
  </si>
  <si>
    <t>CEW4342</t>
  </si>
  <si>
    <t>MBPWO2412013</t>
  </si>
  <si>
    <t>MBPSI2501005</t>
  </si>
  <si>
    <t>DEP6000</t>
  </si>
  <si>
    <t>MBPWO2501002</t>
  </si>
  <si>
    <t>MBPSI2501006</t>
  </si>
  <si>
    <t>CEW8916</t>
  </si>
  <si>
    <t>MBPWO2412011</t>
  </si>
  <si>
    <t>MBPSI2501007</t>
  </si>
  <si>
    <t>KFD7766</t>
  </si>
  <si>
    <t>MBPWO2412018</t>
  </si>
  <si>
    <t>MBPSI2501008</t>
  </si>
  <si>
    <t>MOHD HUSAIDI BIN MUKHTAR</t>
  </si>
  <si>
    <t>MBPWO2501009</t>
  </si>
  <si>
    <t>MBPSI2501009</t>
  </si>
  <si>
    <t>MBPWO2404003</t>
  </si>
  <si>
    <t>MBPSI2501010</t>
  </si>
  <si>
    <t>DEF5937</t>
  </si>
  <si>
    <t>MBPWO2412001</t>
  </si>
  <si>
    <t>MBPSI2501011</t>
  </si>
  <si>
    <t>VLA8387</t>
  </si>
  <si>
    <t>MBPWO2412019</t>
  </si>
  <si>
    <t>MBPSI2501012</t>
  </si>
  <si>
    <t>VGJ2284</t>
  </si>
  <si>
    <t>MBPWO2412020</t>
  </si>
  <si>
    <t>MBPSI2501013</t>
  </si>
  <si>
    <t>VLG7886</t>
  </si>
  <si>
    <t>MBPWO2412008</t>
  </si>
  <si>
    <t>MBPSI2501014</t>
  </si>
  <si>
    <t>VGR6670</t>
  </si>
  <si>
    <t>MBPWO2501003</t>
  </si>
  <si>
    <t>MBPSI2502001</t>
  </si>
  <si>
    <t>JUN1989</t>
  </si>
  <si>
    <t>MBPWO2501001</t>
  </si>
  <si>
    <t>MBPSI2502002</t>
  </si>
  <si>
    <t>VHG2900</t>
  </si>
  <si>
    <t>MBPWO2501004</t>
  </si>
  <si>
    <t>MBPSI2502003</t>
  </si>
  <si>
    <t>VHN4241</t>
  </si>
  <si>
    <t>MBPWO2502002</t>
  </si>
  <si>
    <t>MBPSI2502004</t>
  </si>
  <si>
    <t>CEX4633</t>
  </si>
  <si>
    <t>MBPWO2502003</t>
  </si>
  <si>
    <t>MBPSI2502005</t>
  </si>
  <si>
    <t>JUX1971</t>
  </si>
  <si>
    <t>MBPWO2501008</t>
  </si>
  <si>
    <t>MBPSI2502006</t>
  </si>
  <si>
    <t>DEH905</t>
  </si>
  <si>
    <t>MBPWO2502004</t>
  </si>
  <si>
    <t>MBPSI2502007</t>
  </si>
  <si>
    <t>ZAINALDIN BIN ISMAIL</t>
  </si>
  <si>
    <t>MBPWO2502007</t>
  </si>
  <si>
    <t>MBPSI2502008</t>
  </si>
  <si>
    <t>CEX2379</t>
  </si>
  <si>
    <t>MBPWO2501010</t>
  </si>
  <si>
    <t>MBPSI2502009</t>
  </si>
  <si>
    <t>QS8485T</t>
  </si>
  <si>
    <t>MBPWO2501006</t>
  </si>
  <si>
    <t>MBPSI2502010</t>
  </si>
  <si>
    <t>VGT4060</t>
  </si>
  <si>
    <t>MBPWO2412012</t>
  </si>
  <si>
    <t>MBPSI2502011</t>
  </si>
  <si>
    <t>JUS3376</t>
  </si>
  <si>
    <t>MBPWO2501005</t>
  </si>
  <si>
    <t>MBPSI2502012</t>
  </si>
  <si>
    <t>RAV8458</t>
  </si>
  <si>
    <t>MBPWO2501007</t>
  </si>
  <si>
    <t>MBPSI2502013</t>
  </si>
  <si>
    <t>CEP6761</t>
  </si>
  <si>
    <t>MBPWO2502008</t>
  </si>
  <si>
    <t>MBPSI2503001</t>
  </si>
  <si>
    <t>BQW6800</t>
  </si>
  <si>
    <t>MBPWO2502005</t>
  </si>
  <si>
    <t>MBPSI2503002</t>
  </si>
  <si>
    <t>RAX1923</t>
  </si>
  <si>
    <t>MBPWO2502001</t>
  </si>
  <si>
    <t>MBPSI2503003</t>
  </si>
  <si>
    <t>CEW7550</t>
  </si>
  <si>
    <t>MBPWO2503002</t>
  </si>
  <si>
    <t>MBPSI2503004</t>
  </si>
  <si>
    <t>JUR242</t>
  </si>
  <si>
    <t>MBPWO2503007</t>
  </si>
  <si>
    <t>MBPSI2503005</t>
  </si>
  <si>
    <t>VGQ157</t>
  </si>
  <si>
    <t>MBPWO2503008</t>
  </si>
  <si>
    <t>MBPSI2503006</t>
  </si>
  <si>
    <t>FADRE BIN HASHIM</t>
  </si>
  <si>
    <t>MBPWO2503010</t>
  </si>
  <si>
    <t>MBPSI2503007</t>
  </si>
  <si>
    <t>JAP72</t>
  </si>
  <si>
    <t>MBPWO2412010</t>
  </si>
  <si>
    <t>MBPSI2503008</t>
  </si>
  <si>
    <t>MBPWO2503009</t>
  </si>
  <si>
    <t>MBPSI2503009</t>
  </si>
  <si>
    <t>NOR FAZIDAH BINTI ABD MAJID</t>
  </si>
  <si>
    <t>VEQ8778</t>
  </si>
  <si>
    <t>MBPWO2503015</t>
  </si>
  <si>
    <t>MBPSI2503010</t>
  </si>
  <si>
    <t>ANC8897</t>
  </si>
  <si>
    <t>MBPWO2503001</t>
  </si>
  <si>
    <t>MBPSI2503011</t>
  </si>
  <si>
    <t>MBPWO2502011</t>
  </si>
  <si>
    <t>MBPSI2503012</t>
  </si>
  <si>
    <t>CBV41</t>
  </si>
  <si>
    <t>MBPWO2503011</t>
  </si>
  <si>
    <t>MBPSI2503013</t>
  </si>
  <si>
    <t>JUD7971</t>
  </si>
  <si>
    <t>MBPWO2503013</t>
  </si>
  <si>
    <t>MBPSI2503014</t>
  </si>
  <si>
    <t>JUM1970</t>
  </si>
  <si>
    <t>MBPWO2503003</t>
  </si>
  <si>
    <t>MBPSI2503015</t>
  </si>
  <si>
    <t>VHQ8480</t>
  </si>
  <si>
    <t>MBPWO2503014</t>
  </si>
  <si>
    <t>MBPSI2503016</t>
  </si>
  <si>
    <t>NDU7770</t>
  </si>
  <si>
    <t>MBPWO2503006</t>
  </si>
  <si>
    <t>MBPIV2502001</t>
  </si>
  <si>
    <t>MOHD NOOR HISYAM BIN ABDUL HALIM</t>
  </si>
  <si>
    <t>MBPIV2503001</t>
  </si>
  <si>
    <t>MBPIV2503004</t>
  </si>
  <si>
    <t>MBPIV2503005</t>
  </si>
  <si>
    <t>HBPSI2501001</t>
  </si>
  <si>
    <t>HBPWO2412002</t>
  </si>
  <si>
    <t>HBPSI2501002</t>
  </si>
  <si>
    <t>DDQ3939</t>
  </si>
  <si>
    <t>HBPWO2410001</t>
  </si>
  <si>
    <t>HBPSI2501003</t>
  </si>
  <si>
    <t>CDL9638</t>
  </si>
  <si>
    <t>HBPWO2501005</t>
  </si>
  <si>
    <t>HBPSI2502001</t>
  </si>
  <si>
    <t>BRJ2698</t>
  </si>
  <si>
    <t>HBPWO2501003</t>
  </si>
  <si>
    <t>HBPSI2502002</t>
  </si>
  <si>
    <t>CCK8261</t>
  </si>
  <si>
    <t>HBPWO2501004</t>
  </si>
  <si>
    <t>HBPSI2502003</t>
  </si>
  <si>
    <t>HBPWO2502001</t>
  </si>
  <si>
    <t>HBPSI2502004</t>
  </si>
  <si>
    <t>JWG7787</t>
  </si>
  <si>
    <t>HBPWO2501001</t>
  </si>
  <si>
    <t>HBPSI2502005</t>
  </si>
  <si>
    <t>VAW6836</t>
  </si>
  <si>
    <t>HBPWO2412003</t>
  </si>
  <si>
    <t>HBPSI2502006</t>
  </si>
  <si>
    <t>CCK3900</t>
  </si>
  <si>
    <t>HBPWO2501007</t>
  </si>
  <si>
    <t>HBPSI2503001</t>
  </si>
  <si>
    <t>VBQ5526</t>
  </si>
  <si>
    <t>HBPWO2503002</t>
  </si>
  <si>
    <t>HBPSI2503002</t>
  </si>
  <si>
    <t>VAB1218</t>
  </si>
  <si>
    <t>HBPWO2503004</t>
  </si>
  <si>
    <t>HBPSI2503003</t>
  </si>
  <si>
    <t>VNE6271</t>
  </si>
  <si>
    <t>HBPWO2412004</t>
  </si>
  <si>
    <t>HBPSI2503004</t>
  </si>
  <si>
    <t>CEF8683</t>
  </si>
  <si>
    <t>HBPWO2502002</t>
  </si>
  <si>
    <t>HBPIV2501001</t>
  </si>
  <si>
    <t>VED7588</t>
  </si>
  <si>
    <t>HBPIV2502001</t>
  </si>
  <si>
    <t>FASSI2501001</t>
  </si>
  <si>
    <t>FASWO2501001</t>
  </si>
  <si>
    <t>FASSI2501002</t>
  </si>
  <si>
    <t>FASWO2501002</t>
  </si>
  <si>
    <t>FASSI2501003</t>
  </si>
  <si>
    <t>FASWO2501004</t>
  </si>
  <si>
    <t>FASSI2501004</t>
  </si>
  <si>
    <t>FASWO2501005</t>
  </si>
  <si>
    <t>FASSI2502001</t>
  </si>
  <si>
    <t>FASWO2502001</t>
  </si>
  <si>
    <t>FASSI2502002</t>
  </si>
  <si>
    <t>FASWO2502002</t>
  </si>
  <si>
    <t>FASSI2502003</t>
  </si>
  <si>
    <t>FASWO2502003</t>
  </si>
  <si>
    <t>FASSI2503001</t>
  </si>
  <si>
    <t>FASWO2503001</t>
  </si>
  <si>
    <t>FASSI2503002</t>
  </si>
  <si>
    <t>FASWO2503002</t>
  </si>
  <si>
    <t>FASSI2503003</t>
  </si>
  <si>
    <t>FASWO2503003</t>
  </si>
  <si>
    <t>FASSI2503004</t>
  </si>
  <si>
    <t>FASWO2503004</t>
  </si>
  <si>
    <t>FASSI2503005</t>
  </si>
  <si>
    <t>FASWO2503005</t>
  </si>
  <si>
    <t>Warranty</t>
  </si>
  <si>
    <t>FASWC2502001</t>
  </si>
  <si>
    <t>FASWC2503001</t>
  </si>
  <si>
    <t>Free Service</t>
  </si>
  <si>
    <t>FASFS2501001</t>
  </si>
  <si>
    <t>FASFS2501002</t>
  </si>
  <si>
    <t>FASFS2502001</t>
  </si>
  <si>
    <t>FASFS2502002</t>
  </si>
  <si>
    <t>FASFS2503001</t>
  </si>
  <si>
    <t>HBPSI2504001</t>
  </si>
  <si>
    <t>VKN1576</t>
  </si>
  <si>
    <t>HBPWO2412012</t>
  </si>
  <si>
    <t>HBPSI2504002</t>
  </si>
  <si>
    <t>VND1151</t>
  </si>
  <si>
    <t>HBPWO2501002</t>
  </si>
  <si>
    <t>HBPSI2504003</t>
  </si>
  <si>
    <t>HBPWO2501010</t>
  </si>
  <si>
    <t>HBPSI2504004</t>
  </si>
  <si>
    <t>CCK1925</t>
  </si>
  <si>
    <t>HBPWO2503007</t>
  </si>
  <si>
    <t>HBPIV2504001</t>
  </si>
  <si>
    <t>HBPIV2504002</t>
  </si>
  <si>
    <t>MBPSI2504001</t>
  </si>
  <si>
    <t>MBPWO2502009</t>
  </si>
  <si>
    <t>MBPSI2504002</t>
  </si>
  <si>
    <t>DEG9557</t>
  </si>
  <si>
    <t>MBPWO2504004</t>
  </si>
  <si>
    <t>MBPSI2504003</t>
  </si>
  <si>
    <t>VEX7716</t>
  </si>
  <si>
    <t>MBPWO2503018</t>
  </si>
  <si>
    <t>MBPSI2504004</t>
  </si>
  <si>
    <t>MBPWO2504005</t>
  </si>
  <si>
    <t>MBPSI2504005</t>
  </si>
  <si>
    <t>VLP5854</t>
  </si>
  <si>
    <t>MBPWO2504003</t>
  </si>
  <si>
    <t>MBPSI2504006</t>
  </si>
  <si>
    <t>CET9411</t>
  </si>
  <si>
    <t>MBPWO2501011</t>
  </si>
  <si>
    <t>MBPSI2504007</t>
  </si>
  <si>
    <t>DDG8795</t>
  </si>
  <si>
    <t>MBPWO2504006</t>
  </si>
  <si>
    <t>MBPSI2504008</t>
  </si>
  <si>
    <t>SMK5519</t>
  </si>
  <si>
    <t>MBPWO2504008</t>
  </si>
  <si>
    <t>MBPSI2504009</t>
  </si>
  <si>
    <t>MBPWO2503016</t>
  </si>
  <si>
    <t>MBPSI2504010</t>
  </si>
  <si>
    <t>BRW2386</t>
  </si>
  <si>
    <t>MBPWO2504009</t>
  </si>
  <si>
    <t>MBPIV2504001</t>
  </si>
  <si>
    <t>QTV3000</t>
  </si>
  <si>
    <t>MBPIV2504002</t>
  </si>
  <si>
    <t>VLP3213</t>
  </si>
  <si>
    <t>FASSI2504001</t>
  </si>
  <si>
    <t>FASWO2504001</t>
  </si>
  <si>
    <t>FASSI2504002</t>
  </si>
  <si>
    <t>FASWO2504002</t>
  </si>
  <si>
    <t>FASWC2504001</t>
  </si>
  <si>
    <t>FASFS2504001</t>
  </si>
  <si>
    <t>HBPSI2505001</t>
  </si>
  <si>
    <t>LAUNDRY CARE SDN BHD</t>
  </si>
  <si>
    <t>VND1146</t>
  </si>
  <si>
    <t>HBPWO2505002</t>
  </si>
  <si>
    <t>HBPSI2505002</t>
  </si>
  <si>
    <t>VJN8266</t>
  </si>
  <si>
    <t>HBPWO2503003</t>
  </si>
  <si>
    <t>HBPSI2505003</t>
  </si>
  <si>
    <t>HBPWO2503008</t>
  </si>
  <si>
    <t>HBPSI2505004</t>
  </si>
  <si>
    <t>HBPWO2505003</t>
  </si>
  <si>
    <t>HBPSI2505005</t>
  </si>
  <si>
    <t>TBX3119</t>
  </si>
  <si>
    <t>HBPWO2501008</t>
  </si>
  <si>
    <t>MBPSI2505001</t>
  </si>
  <si>
    <t>RAZALI BIN ABD.KADIR</t>
  </si>
  <si>
    <t>BRH9439</t>
  </si>
  <si>
    <t>MBPWO2504013</t>
  </si>
  <si>
    <t>MBPSI2505002</t>
  </si>
  <si>
    <t>MBPWO2504007</t>
  </si>
  <si>
    <t>MBPSI2505003</t>
  </si>
  <si>
    <t>CER899</t>
  </si>
  <si>
    <t>MBPWO2503012</t>
  </si>
  <si>
    <t>MBPSI2505004</t>
  </si>
  <si>
    <t>P02802</t>
  </si>
  <si>
    <t>MBPWO2503005</t>
  </si>
  <si>
    <t>MBPSI2505005</t>
  </si>
  <si>
    <t>MOHAMAD SABARIN BIN MANSOR</t>
  </si>
  <si>
    <t>JXL5577</t>
  </si>
  <si>
    <t>MBPWO2504014</t>
  </si>
  <si>
    <t>MBPSI2505006</t>
  </si>
  <si>
    <t>VGH3909</t>
  </si>
  <si>
    <t>MBPWO2504010</t>
  </si>
  <si>
    <t>MBPSI2505007</t>
  </si>
  <si>
    <t>VMU7214</t>
  </si>
  <si>
    <t>MBPWO2502010</t>
  </si>
  <si>
    <t>MBPSI2505008</t>
  </si>
  <si>
    <t>AMS8712</t>
  </si>
  <si>
    <t>MBPWO2505001</t>
  </si>
  <si>
    <t>MBPSI2505009</t>
  </si>
  <si>
    <t>KFT7093</t>
  </si>
  <si>
    <t>MBPWO2503017</t>
  </si>
  <si>
    <t>MBPSI2505010</t>
  </si>
  <si>
    <t>RBA762</t>
  </si>
  <si>
    <t>MBPWO2504011</t>
  </si>
  <si>
    <t>MBPSI2505011</t>
  </si>
  <si>
    <t>NDG6573</t>
  </si>
  <si>
    <t>MBPWO2505002</t>
  </si>
  <si>
    <t>MBPSI2505012</t>
  </si>
  <si>
    <t>MBPWO2505003</t>
  </si>
  <si>
    <t>MBPIV2505001</t>
  </si>
  <si>
    <t>HBPIV2505001</t>
  </si>
  <si>
    <t>FASSI2505001</t>
  </si>
  <si>
    <t>FASWO2505001</t>
  </si>
  <si>
    <t>FASSI2505002</t>
  </si>
  <si>
    <t>FASWO2505002</t>
  </si>
  <si>
    <t>FASFS2505001</t>
  </si>
  <si>
    <t>MBPCASH2311001</t>
  </si>
  <si>
    <t>NARIZAH</t>
  </si>
  <si>
    <t>VKJ1617</t>
  </si>
  <si>
    <t>MBPWO2311001</t>
  </si>
  <si>
    <t>MBPSI2311001</t>
  </si>
  <si>
    <t>VKM7660</t>
  </si>
  <si>
    <t>MBPWO2311011</t>
  </si>
  <si>
    <t>MBPSI2312001</t>
  </si>
  <si>
    <t>MBPWO2312007</t>
  </si>
  <si>
    <t>MBPSI2312002</t>
  </si>
  <si>
    <t>VFU9990</t>
  </si>
  <si>
    <t>MBPWO2311008</t>
  </si>
  <si>
    <t>MBPSI2312003</t>
  </si>
  <si>
    <t>VJN4429</t>
  </si>
  <si>
    <t>MBPWO2311015</t>
  </si>
  <si>
    <t>MBPSI2312004</t>
  </si>
  <si>
    <t>CEQ6122</t>
  </si>
  <si>
    <t>MBPWO2311014</t>
  </si>
  <si>
    <t>MBPSI2312005</t>
  </si>
  <si>
    <t>MBPWO2311012</t>
  </si>
  <si>
    <t>MBPSI2312006</t>
  </si>
  <si>
    <t>VKH8524</t>
  </si>
  <si>
    <t>MBPWO2311013</t>
  </si>
  <si>
    <t>MBPSI2312007</t>
  </si>
  <si>
    <t>MBPWO2311003</t>
  </si>
  <si>
    <t>MBPSI2312008</t>
  </si>
  <si>
    <t>VFW1566</t>
  </si>
  <si>
    <t>MBPWO2311005</t>
  </si>
  <si>
    <t>MBPSI2312009</t>
  </si>
  <si>
    <t>MBPWO2312002</t>
  </si>
  <si>
    <t>MBPSI2312010</t>
  </si>
  <si>
    <t>BQN1336</t>
  </si>
  <si>
    <t>MBPWO2311006</t>
  </si>
  <si>
    <t>SPRAY</t>
  </si>
  <si>
    <t>YA 2024</t>
  </si>
  <si>
    <t>YA 2025</t>
  </si>
  <si>
    <t>MBPSI2506001</t>
  </si>
  <si>
    <t>P04074</t>
  </si>
  <si>
    <t>MBPWO2506001</t>
  </si>
  <si>
    <t>MBPSI2506002</t>
  </si>
  <si>
    <t>AMH2540</t>
  </si>
  <si>
    <t>MBPWO2504001</t>
  </si>
  <si>
    <t>MBPSI2506003</t>
  </si>
  <si>
    <t>WB9689S</t>
  </si>
  <si>
    <t>MBPWO2506003</t>
  </si>
  <si>
    <t>MBPSI2506004</t>
  </si>
  <si>
    <t>CDY982</t>
  </si>
  <si>
    <t>MBPWO2504002</t>
  </si>
  <si>
    <t>MBPSI2506005</t>
  </si>
  <si>
    <t>BRW6049</t>
  </si>
  <si>
    <t>MBPWO2505010</t>
  </si>
  <si>
    <t>MBPSI2506006</t>
  </si>
  <si>
    <t>VKW1324</t>
  </si>
  <si>
    <t>MBPWO2412016</t>
  </si>
  <si>
    <t>MBPSI2506007</t>
  </si>
  <si>
    <t>P04363</t>
  </si>
  <si>
    <t>MBPWO2503004</t>
  </si>
  <si>
    <t>MBPSI2506008</t>
  </si>
  <si>
    <t>CFB6546</t>
  </si>
  <si>
    <t>MBPWO2506006</t>
  </si>
  <si>
    <t>MBPSI2506009</t>
  </si>
  <si>
    <t>JVE6728</t>
  </si>
  <si>
    <t>MBPWO2505005</t>
  </si>
  <si>
    <t>MBPSI2506010</t>
  </si>
  <si>
    <t>AMF586</t>
  </si>
  <si>
    <t>MBPWO2506004</t>
  </si>
  <si>
    <t>MBPSI2506011</t>
  </si>
  <si>
    <t>VJS9641</t>
  </si>
  <si>
    <t>MBPWO2505007</t>
  </si>
  <si>
    <t>MBPSI2506012</t>
  </si>
  <si>
    <t>VBK8895</t>
  </si>
  <si>
    <t>MBPWO2505011</t>
  </si>
  <si>
    <t>MBPSI2506013</t>
  </si>
  <si>
    <t>P05122</t>
  </si>
  <si>
    <t>MBPWO2506008</t>
  </si>
  <si>
    <t>MBPSI2506014</t>
  </si>
  <si>
    <t>MOHD NIZAM BIN SHAMSUDDIN</t>
  </si>
  <si>
    <t>JQT1407</t>
  </si>
  <si>
    <t>MBPWO2506010</t>
  </si>
  <si>
    <t>MBPSI2506015</t>
  </si>
  <si>
    <t>VGE9145</t>
  </si>
  <si>
    <t>MBPWO2506005</t>
  </si>
  <si>
    <t>MBPSI2506016</t>
  </si>
  <si>
    <t>AHMAD MARZUKI BIN YUSOF</t>
  </si>
  <si>
    <t>TCS8609</t>
  </si>
  <si>
    <t>MBPWO2506007</t>
  </si>
  <si>
    <t>MBPIV2506001</t>
  </si>
  <si>
    <t>MBPIV2506002</t>
  </si>
  <si>
    <t>HBPSI2506001</t>
  </si>
  <si>
    <t>HBPWO2502003</t>
  </si>
  <si>
    <t>HBPSI2506002</t>
  </si>
  <si>
    <t>CES7371</t>
  </si>
  <si>
    <t>HBPWO2504007</t>
  </si>
  <si>
    <t>HBPSI2506003</t>
  </si>
  <si>
    <t>BQE8701</t>
  </si>
  <si>
    <t>HBPWO2505001</t>
  </si>
  <si>
    <t>HBPIV2506001</t>
  </si>
  <si>
    <t>HBPIV2506002</t>
  </si>
  <si>
    <t>AMT9133</t>
  </si>
  <si>
    <t>HBPIV2506003</t>
  </si>
  <si>
    <t>HBPIV2506004</t>
  </si>
  <si>
    <t>VHA8821</t>
  </si>
  <si>
    <t>FASSI2506001</t>
  </si>
  <si>
    <t>FASWO2506001</t>
  </si>
  <si>
    <t>FASSI2506002</t>
  </si>
  <si>
    <t>FASWO2506002</t>
  </si>
  <si>
    <t>FASSI2506003</t>
  </si>
  <si>
    <t>FASWO2506003</t>
  </si>
  <si>
    <t>FASFS2506001</t>
  </si>
  <si>
    <t>HBPSI2507001</t>
  </si>
  <si>
    <t>TCM6638</t>
  </si>
  <si>
    <t>HBPWO2504006</t>
  </si>
  <si>
    <t>HBPSI2507002</t>
  </si>
  <si>
    <t>HBPWO2507002</t>
  </si>
  <si>
    <t>HBPSI2507003</t>
  </si>
  <si>
    <t>VHR2203</t>
  </si>
  <si>
    <t>HBPWO2506002</t>
  </si>
  <si>
    <t>HBPSI2507004</t>
  </si>
  <si>
    <t>HBPWO2503001</t>
  </si>
  <si>
    <t>HBPSI2507005</t>
  </si>
  <si>
    <t>PQX6686</t>
  </si>
  <si>
    <t>HBPWO2507001</t>
  </si>
  <si>
    <t>HBPSI2507006</t>
  </si>
  <si>
    <t>VJP6332</t>
  </si>
  <si>
    <t>HBPWO2504005</t>
  </si>
  <si>
    <t>HBPSI2507007</t>
  </si>
  <si>
    <t>KFV6117</t>
  </si>
  <si>
    <t>HBPWO2507004</t>
  </si>
  <si>
    <t>HBPSI2507008</t>
  </si>
  <si>
    <t>HBPWO2507006</t>
  </si>
  <si>
    <t>HBPSI2507009</t>
  </si>
  <si>
    <t>VBG8310</t>
  </si>
  <si>
    <t>HBPWO2505004</t>
  </si>
  <si>
    <t>HBPSI2507010</t>
  </si>
  <si>
    <t>TCU6118</t>
  </si>
  <si>
    <t>HBPWO2504004</t>
  </si>
  <si>
    <t>SERVICE FOR PUSPAKOM CHECKING</t>
  </si>
  <si>
    <t>HBPIV2507001</t>
  </si>
  <si>
    <t>HBPIV2507002</t>
  </si>
  <si>
    <t>VMX3368</t>
  </si>
  <si>
    <t>MERIMEN</t>
  </si>
  <si>
    <t>FASSI2507001</t>
  </si>
  <si>
    <t>TRUCK LINK AUTO SDN BHD</t>
  </si>
  <si>
    <t>VFY5570</t>
  </si>
  <si>
    <t>FASWO2501003</t>
  </si>
  <si>
    <t>FASSI2507002</t>
  </si>
  <si>
    <t>FASWO2507001</t>
  </si>
  <si>
    <t>FASSI2507003</t>
  </si>
  <si>
    <t>FASWO2507002</t>
  </si>
  <si>
    <t>MBPSI2507001</t>
  </si>
  <si>
    <t>MBPWO2505009</t>
  </si>
  <si>
    <t>MBPSI2507002</t>
  </si>
  <si>
    <t>RAX4082</t>
  </si>
  <si>
    <t>MBPWO2505008</t>
  </si>
  <si>
    <t>MBPSI2507003</t>
  </si>
  <si>
    <t>JXP7858</t>
  </si>
  <si>
    <t>MBPWO2506002</t>
  </si>
  <si>
    <t>MBPSI2507004</t>
  </si>
  <si>
    <t>CEM9297</t>
  </si>
  <si>
    <t>MBPWO2505004</t>
  </si>
  <si>
    <t>MBPSI2507005</t>
  </si>
  <si>
    <t>VGB4719</t>
  </si>
  <si>
    <t>MBPWO2507002</t>
  </si>
  <si>
    <t>MBPSI2507006</t>
  </si>
  <si>
    <t>VLK4240</t>
  </si>
  <si>
    <t>MBPWO2507005</t>
  </si>
  <si>
    <t>MBPSI2507007</t>
  </si>
  <si>
    <t>CEU4672</t>
  </si>
  <si>
    <t>MBPWO2507003</t>
  </si>
  <si>
    <t>MBPSI2507008</t>
  </si>
  <si>
    <t>BRA3466</t>
  </si>
  <si>
    <t>MBPWO2507007</t>
  </si>
  <si>
    <t>MBPSI2507009</t>
  </si>
  <si>
    <t>CFA3293</t>
  </si>
  <si>
    <t>MBPWO2506009</t>
  </si>
  <si>
    <t>MBPSI2507010</t>
  </si>
  <si>
    <t>MBPWO2507008</t>
  </si>
  <si>
    <t>MBPSI2507011</t>
  </si>
  <si>
    <t>CEM5787</t>
  </si>
  <si>
    <t>MBPWO2507006</t>
  </si>
  <si>
    <t>MBPSI2507012</t>
  </si>
  <si>
    <t>CEP6911</t>
  </si>
  <si>
    <t>MBPWO2507001</t>
  </si>
  <si>
    <t>MBPSI2507013</t>
  </si>
  <si>
    <t>DEM50</t>
  </si>
  <si>
    <t>MBPWO2507010</t>
  </si>
  <si>
    <t>MBPSI2507014</t>
  </si>
  <si>
    <t>AMB911</t>
  </si>
  <si>
    <t>MBPWO2507009</t>
  </si>
  <si>
    <t>MBPSI2507015</t>
  </si>
  <si>
    <t>CET6078</t>
  </si>
  <si>
    <t>MBPWO2507012</t>
  </si>
  <si>
    <t>MBPIV2507001</t>
  </si>
  <si>
    <t>MBPIV2507002</t>
  </si>
  <si>
    <t>MBPIV2507003</t>
  </si>
  <si>
    <t>CER9587</t>
  </si>
  <si>
    <t>MBPIV2507004</t>
  </si>
  <si>
    <t>MBPIV2507005</t>
  </si>
  <si>
    <t>VLP606</t>
  </si>
  <si>
    <t>MBPSI2508001</t>
  </si>
  <si>
    <t>MBPWO2508010</t>
  </si>
  <si>
    <t>MBPSI2508002</t>
  </si>
  <si>
    <t>VFA9482</t>
  </si>
  <si>
    <t>MBPWO2508009</t>
  </si>
  <si>
    <t>MBPSI2508003</t>
  </si>
  <si>
    <t>VLF664</t>
  </si>
  <si>
    <t>MBPWO2508001</t>
  </si>
  <si>
    <t>MBPSI2508004</t>
  </si>
  <si>
    <t>VHP1654</t>
  </si>
  <si>
    <t>MBPWO2508002</t>
  </si>
  <si>
    <t>MBPSI2508005</t>
  </si>
  <si>
    <t>MBPWO2508006</t>
  </si>
  <si>
    <t>MBPSI2508006</t>
  </si>
  <si>
    <t>CES75</t>
  </si>
  <si>
    <t>MBPWO2508007</t>
  </si>
  <si>
    <t>MBPSI2508007</t>
  </si>
  <si>
    <t>BQX7824</t>
  </si>
  <si>
    <t>MBPWO2508017</t>
  </si>
  <si>
    <t>MBPSI2508008</t>
  </si>
  <si>
    <t>VJW550</t>
  </si>
  <si>
    <t>MBPWO2507014</t>
  </si>
  <si>
    <t>MBPSI2508009</t>
  </si>
  <si>
    <t>RAL9403</t>
  </si>
  <si>
    <t>MBPWO2507013</t>
  </si>
  <si>
    <t>MBPSI2508010</t>
  </si>
  <si>
    <t>MBPWO2507011</t>
  </si>
  <si>
    <t>MBPSI2508011</t>
  </si>
  <si>
    <t>CES7279</t>
  </si>
  <si>
    <t>MBPWO2508013</t>
  </si>
  <si>
    <t>MBPSI2508012</t>
  </si>
  <si>
    <t>CER1883</t>
  </si>
  <si>
    <t>MBPWO2508026</t>
  </si>
  <si>
    <t>MBPSI2508013</t>
  </si>
  <si>
    <t>SU3831H</t>
  </si>
  <si>
    <t>MBPWO2508019</t>
  </si>
  <si>
    <t>MBPSI2508014</t>
  </si>
  <si>
    <t>MDR7865</t>
  </si>
  <si>
    <t>MBPWO2508003</t>
  </si>
  <si>
    <t>MBPSI2508015</t>
  </si>
  <si>
    <t>P04907</t>
  </si>
  <si>
    <t>MBPWO2508022</t>
  </si>
  <si>
    <t>TAX</t>
  </si>
  <si>
    <t>MBPIV2508002</t>
  </si>
  <si>
    <t>MBPIV2508003</t>
  </si>
  <si>
    <t>MBPIV2508004</t>
  </si>
  <si>
    <t>MBPIV2508005</t>
  </si>
  <si>
    <t>VJW625</t>
  </si>
  <si>
    <t>MBPIV2508006</t>
  </si>
  <si>
    <t>MBPIV2508007</t>
  </si>
  <si>
    <t>DFE899</t>
  </si>
  <si>
    <t>HBPSI2508001</t>
  </si>
  <si>
    <t>VKN6872</t>
  </si>
  <si>
    <t>HBPWO2508001</t>
  </si>
  <si>
    <t>HBPSI2508002</t>
  </si>
  <si>
    <t>VMB7073</t>
  </si>
  <si>
    <t>HBPWO2507005</t>
  </si>
  <si>
    <t>HBPSI2508003</t>
  </si>
  <si>
    <t>VMH8922</t>
  </si>
  <si>
    <t>HBPWO2508006</t>
  </si>
  <si>
    <t>HBPSI2508004</t>
  </si>
  <si>
    <t>VPK5422</t>
  </si>
  <si>
    <t>HBPWO2508007</t>
  </si>
  <si>
    <t>FASSI2508001</t>
  </si>
  <si>
    <t>FASWO2508001</t>
  </si>
  <si>
    <t>HBPWO2504001</t>
  </si>
  <si>
    <t>VJG5093</t>
  </si>
  <si>
    <t>HBPSI2509006</t>
  </si>
  <si>
    <t>HBPWO2509006</t>
  </si>
  <si>
    <t>PKS6199</t>
  </si>
  <si>
    <t>HBPSI2509005</t>
  </si>
  <si>
    <t>HBPWO2501009</t>
  </si>
  <si>
    <t>BSA7328</t>
  </si>
  <si>
    <t>HBPSI2509004</t>
  </si>
  <si>
    <t>HBPWO2509002</t>
  </si>
  <si>
    <t>HBPSI2509003</t>
  </si>
  <si>
    <t>HBPWO2508008</t>
  </si>
  <si>
    <t>TCY8339</t>
  </si>
  <si>
    <t>HBPSI2509002</t>
  </si>
  <si>
    <t>HBPWO2507007</t>
  </si>
  <si>
    <t>CCR8626</t>
  </si>
  <si>
    <t>HBPSI2509001</t>
  </si>
  <si>
    <t>HBPIV2509001</t>
  </si>
  <si>
    <t>DIESEL TUNING SDN BHD</t>
  </si>
  <si>
    <t>HBPIV2509002</t>
  </si>
  <si>
    <t>PART PURCHASE</t>
  </si>
  <si>
    <t>DN</t>
  </si>
  <si>
    <t>MBPWO2509003</t>
  </si>
  <si>
    <t>MBPSI2509010</t>
  </si>
  <si>
    <t>MBPWO2508005</t>
  </si>
  <si>
    <t>VHB9956</t>
  </si>
  <si>
    <t>MBPSI2509009</t>
  </si>
  <si>
    <t>MBPWO2508018</t>
  </si>
  <si>
    <t>CEL2861</t>
  </si>
  <si>
    <t>MBPSI2509008</t>
  </si>
  <si>
    <t>MBPWO2509005</t>
  </si>
  <si>
    <t>BQT7878</t>
  </si>
  <si>
    <t>MBPSI2509007</t>
  </si>
  <si>
    <t>MBPWO2509004</t>
  </si>
  <si>
    <t>NDY8615</t>
  </si>
  <si>
    <t>MBPSI2509006</t>
  </si>
  <si>
    <t>MBPWO2508004</t>
  </si>
  <si>
    <t>MBPSI2509005</t>
  </si>
  <si>
    <t>MBPWO2508024</t>
  </si>
  <si>
    <t>MBPSI2509004</t>
  </si>
  <si>
    <t>MBPWO2505006</t>
  </si>
  <si>
    <t>MBPSI2509003</t>
  </si>
  <si>
    <t>MBPWO2507004</t>
  </si>
  <si>
    <t>UM4797</t>
  </si>
  <si>
    <t>MBPSI2509002</t>
  </si>
  <si>
    <t>MBPWO2508023</t>
  </si>
  <si>
    <t>E5541</t>
  </si>
  <si>
    <t>MBPSI2509001</t>
  </si>
  <si>
    <t>MBPIV2509001</t>
  </si>
  <si>
    <t>VFV5818</t>
  </si>
  <si>
    <t>MBPIV2509002</t>
  </si>
  <si>
    <t>MBPIV2509003</t>
  </si>
  <si>
    <t>MBPIV2509004</t>
  </si>
  <si>
    <t>QRV7478</t>
  </si>
  <si>
    <t>MBPIV2509005</t>
  </si>
  <si>
    <t>VFN59</t>
  </si>
  <si>
    <t>FASWO2509001</t>
  </si>
  <si>
    <t>FASSI2509001</t>
  </si>
  <si>
    <t>HBPSI2510001</t>
  </si>
  <si>
    <t>HBPWO2509010</t>
  </si>
  <si>
    <t>HBPSI2510002</t>
  </si>
  <si>
    <t>CEK9938</t>
  </si>
  <si>
    <t>HBPWO2510002</t>
  </si>
  <si>
    <t>HBPSI2510003</t>
  </si>
  <si>
    <t>AES53</t>
  </si>
  <si>
    <t>HBPWO2503006</t>
  </si>
  <si>
    <t>HBPSI2510004</t>
  </si>
  <si>
    <t>BQE8707</t>
  </si>
  <si>
    <t>HBPWO2510004</t>
  </si>
  <si>
    <t>HBPSI2510005</t>
  </si>
  <si>
    <t>VAQ8667</t>
  </si>
  <si>
    <t>HBPWO2509005</t>
  </si>
  <si>
    <t>HBPSI2510006</t>
  </si>
  <si>
    <t>VLM7620</t>
  </si>
  <si>
    <t>HBPWO2507003</t>
  </si>
  <si>
    <t>HBPSI2510007</t>
  </si>
  <si>
    <t>NEA7298</t>
  </si>
  <si>
    <t>HBPWO2510006</t>
  </si>
  <si>
    <t>HBPSI2510008</t>
  </si>
  <si>
    <t>VJV2210</t>
  </si>
  <si>
    <t>HBPWO2509001</t>
  </si>
  <si>
    <t>HBPSI2510009</t>
  </si>
  <si>
    <t>HBPWO2509004</t>
  </si>
  <si>
    <t>DISC</t>
  </si>
  <si>
    <t>MBPSI2510001</t>
  </si>
  <si>
    <t>VEN7288</t>
  </si>
  <si>
    <t>MBPWO2509002</t>
  </si>
  <si>
    <t>MBPSI2510002</t>
  </si>
  <si>
    <t>VPS8091</t>
  </si>
  <si>
    <t>MBPWO2509009</t>
  </si>
  <si>
    <t>MBPSI2510003</t>
  </si>
  <si>
    <t>MBPWO2508020</t>
  </si>
  <si>
    <t>MBPSI2510004</t>
  </si>
  <si>
    <t>SYAIFUL SYAZWAN ANIF BIN NASARUDIN</t>
  </si>
  <si>
    <t>SWN9307</t>
  </si>
  <si>
    <t>MBPWO2510001</t>
  </si>
  <si>
    <t>MBPSI2510005</t>
  </si>
  <si>
    <t>UM6206</t>
  </si>
  <si>
    <t>MBPWO2509007</t>
  </si>
  <si>
    <t>MBPSI2510006</t>
  </si>
  <si>
    <t>VLH5520</t>
  </si>
  <si>
    <t>MBPWO2510002</t>
  </si>
  <si>
    <t>MBPSI2510007</t>
  </si>
  <si>
    <t>CER1406</t>
  </si>
  <si>
    <t>MBPWO2510006</t>
  </si>
  <si>
    <t>MBPSI2510008</t>
  </si>
  <si>
    <t>BQH1256</t>
  </si>
  <si>
    <t>MBPWO2510007</t>
  </si>
  <si>
    <t>MBPSI2510009</t>
  </si>
  <si>
    <t>MBPWO2506011</t>
  </si>
  <si>
    <t>MBPSI2510010</t>
  </si>
  <si>
    <t>MBPWO2509001</t>
  </si>
  <si>
    <t>MBPSI2510011</t>
  </si>
  <si>
    <t>MBPWO2510011</t>
  </si>
  <si>
    <t>MBPSI2510012</t>
  </si>
  <si>
    <t>TCQ2294</t>
  </si>
  <si>
    <t>MBPWO2510010</t>
  </si>
  <si>
    <t>MBPSI2510013</t>
  </si>
  <si>
    <t>BQK7697</t>
  </si>
  <si>
    <t>MBPWO2510005</t>
  </si>
  <si>
    <t>MBPIV2510001</t>
  </si>
  <si>
    <t>MBPIV2510002</t>
  </si>
  <si>
    <t>FASSI2510001</t>
  </si>
  <si>
    <t>CCC7671</t>
  </si>
  <si>
    <t>FASWO2509003</t>
  </si>
  <si>
    <t>FASSI2510002</t>
  </si>
  <si>
    <t>FASWO2509002</t>
  </si>
  <si>
    <t>FASSI2510003</t>
  </si>
  <si>
    <t>FASWO2510002</t>
  </si>
  <si>
    <t>HBPSI2511001</t>
  </si>
  <si>
    <t>VET1482</t>
  </si>
  <si>
    <t>HBPWO2508009</t>
  </si>
  <si>
    <t>HBPSI2511002</t>
  </si>
  <si>
    <t>HBPWO2511001</t>
  </si>
  <si>
    <t>HBPSI2511003</t>
  </si>
  <si>
    <t>BQE8708</t>
  </si>
  <si>
    <t>HBPWO2511002</t>
  </si>
  <si>
    <t>HBPSI2511004</t>
  </si>
  <si>
    <t>HBPWO2510007</t>
  </si>
  <si>
    <t>HBPSI2511005</t>
  </si>
  <si>
    <t>HBPWO2510003</t>
  </si>
  <si>
    <t>HBPSI2511006</t>
  </si>
  <si>
    <t>CEP5371</t>
  </si>
  <si>
    <t>HBPWO2506003</t>
  </si>
  <si>
    <t>HBPSI2511007</t>
  </si>
  <si>
    <t>VJY1657</t>
  </si>
  <si>
    <t>HBPWO2510001</t>
  </si>
  <si>
    <t>HBPSI2511008</t>
  </si>
  <si>
    <t>ALQ3572</t>
  </si>
  <si>
    <t>HBPWO2509007</t>
  </si>
  <si>
    <t>HBPIV2511001</t>
  </si>
  <si>
    <t>JWL6113</t>
  </si>
  <si>
    <t>HBPIV2511002</t>
  </si>
  <si>
    <t>JXM1435</t>
  </si>
  <si>
    <t>MBPSI2511001</t>
  </si>
  <si>
    <t>VMS7043</t>
  </si>
  <si>
    <t>MBPWO2509006</t>
  </si>
  <si>
    <t>MBPSI2511002</t>
  </si>
  <si>
    <t>ANC5554</t>
  </si>
  <si>
    <t>MBPWO2510012</t>
  </si>
  <si>
    <t>MBPSI2511003</t>
  </si>
  <si>
    <t>MBPWO2510008</t>
  </si>
  <si>
    <t>MBPSI2511004</t>
  </si>
  <si>
    <t>VFC5763</t>
  </si>
  <si>
    <t>MBPWO2509008</t>
  </si>
  <si>
    <t>MBPSI2511005</t>
  </si>
  <si>
    <t>CER1893</t>
  </si>
  <si>
    <t>MBPWO2511004</t>
  </si>
  <si>
    <t>MBPSI2511006</t>
  </si>
  <si>
    <t>CER1892</t>
  </si>
  <si>
    <t>MBPWO2511005</t>
  </si>
  <si>
    <t>MBPSI2511007</t>
  </si>
  <si>
    <t>VHV2909</t>
  </si>
  <si>
    <t>MBPWO2511003</t>
  </si>
  <si>
    <t>MBPSI2511008</t>
  </si>
  <si>
    <t>BRF8185</t>
  </si>
  <si>
    <t>MBPWO2511006</t>
  </si>
  <si>
    <t>MBPSI2511009</t>
  </si>
  <si>
    <t>MBPWO2511008</t>
  </si>
  <si>
    <t>MBPSI2511010</t>
  </si>
  <si>
    <t>CER7609</t>
  </si>
  <si>
    <t>MBPWO2510009</t>
  </si>
  <si>
    <t xml:space="preserve">BRF8185 </t>
  </si>
  <si>
    <t>MBPIV2511001</t>
  </si>
  <si>
    <t>FASSI2511001</t>
  </si>
  <si>
    <t>FASWO2511001</t>
  </si>
  <si>
    <t>FASSI2511002</t>
  </si>
  <si>
    <t>FASWO2511002</t>
  </si>
  <si>
    <t>FASSI2511003</t>
  </si>
  <si>
    <t>FASWO2511003</t>
  </si>
  <si>
    <t>FASFS2511001</t>
  </si>
  <si>
    <t>HBPSI2512001</t>
  </si>
  <si>
    <t>CEP2801</t>
  </si>
  <si>
    <t>HBPWO2509008</t>
  </si>
  <si>
    <t>HBPSI2512002</t>
  </si>
  <si>
    <t>VBG8759</t>
  </si>
  <si>
    <t>HBPWO2510005</t>
  </si>
  <si>
    <t>HBPIV2512001</t>
  </si>
  <si>
    <t>PPE4246</t>
  </si>
  <si>
    <t>MBPSI2512001</t>
  </si>
  <si>
    <t>CEY1944</t>
  </si>
  <si>
    <t>MBPWO2511011</t>
  </si>
  <si>
    <t>MBPSI2512002</t>
  </si>
  <si>
    <t>VMA7240</t>
  </si>
  <si>
    <t>MBPWO2512001</t>
  </si>
  <si>
    <t>MBPSI2512003</t>
  </si>
  <si>
    <t>BPT8228</t>
  </si>
  <si>
    <t>MBPWO2511007</t>
  </si>
  <si>
    <t>MBPSI2512004</t>
  </si>
  <si>
    <t>DEA1090</t>
  </si>
  <si>
    <t>MBPWO2511013</t>
  </si>
  <si>
    <t>MBPSI2512005</t>
  </si>
  <si>
    <t>CEP2188</t>
  </si>
  <si>
    <t>MBPWO2512004</t>
  </si>
  <si>
    <t>MBPSI2512006</t>
  </si>
  <si>
    <t>DEH5556</t>
  </si>
  <si>
    <t>MBPWO2512003</t>
  </si>
  <si>
    <t>MBPSI2512007</t>
  </si>
  <si>
    <t>VNM172</t>
  </si>
  <si>
    <t>MBPWO2512006</t>
  </si>
  <si>
    <t>MBPSI2512008</t>
  </si>
  <si>
    <t>NOR SHARURAIZA BINTI HUSAIN</t>
  </si>
  <si>
    <t>KFX6464</t>
  </si>
  <si>
    <t>MBPWO2512002</t>
  </si>
  <si>
    <t>MBPIV2512001</t>
  </si>
  <si>
    <t>MBPIV2512002</t>
  </si>
  <si>
    <t>MBPIV2512003</t>
  </si>
  <si>
    <t>MBPSI2512009</t>
  </si>
  <si>
    <t>VPE9327</t>
  </si>
  <si>
    <t>MBPWO2511001</t>
  </si>
  <si>
    <t>MBPSI2512010</t>
  </si>
  <si>
    <t>CER7599</t>
  </si>
  <si>
    <t>MBPWO2511002</t>
  </si>
  <si>
    <t>MBPIV2512005</t>
  </si>
  <si>
    <t>MBPSI2512011</t>
  </si>
  <si>
    <t>CCH32</t>
  </si>
  <si>
    <t>MBPWO2512007</t>
  </si>
  <si>
    <t>MBPSI2512012</t>
  </si>
  <si>
    <t>VHG3752</t>
  </si>
  <si>
    <t>MBPWO2512009</t>
  </si>
  <si>
    <t>HBPSI2512003</t>
  </si>
  <si>
    <t>DDF2289</t>
  </si>
  <si>
    <t>HBPWO2511003</t>
  </si>
  <si>
    <t>MBPSI2512013</t>
  </si>
  <si>
    <t>VKU4827</t>
  </si>
  <si>
    <t>MBPWO2511010</t>
  </si>
  <si>
    <t>MBPSI2512014</t>
  </si>
  <si>
    <t>TDD1591</t>
  </si>
  <si>
    <t>MBPWO2510013</t>
  </si>
  <si>
    <t>Monthly Summary After Sales 2026</t>
  </si>
  <si>
    <t>= TRADING INV</t>
  </si>
  <si>
    <t>HBPSI2609001</t>
  </si>
  <si>
    <t>Sept</t>
  </si>
  <si>
    <t>CFA 3176</t>
  </si>
  <si>
    <t>HBPWO2603005</t>
  </si>
  <si>
    <t>MBPSI2609001</t>
  </si>
  <si>
    <t>MBPSI2609002</t>
  </si>
  <si>
    <t>RBB 6769</t>
  </si>
  <si>
    <t>VPD 143</t>
  </si>
  <si>
    <t>MBPWO2607010</t>
  </si>
  <si>
    <t>MBPWO2608004</t>
  </si>
  <si>
    <t>MBPSI2609003</t>
  </si>
  <si>
    <t>RAQ 9097</t>
  </si>
  <si>
    <t>MBPWO2609001</t>
  </si>
  <si>
    <t>FASSI2609001</t>
  </si>
  <si>
    <t>AMR 3233</t>
  </si>
  <si>
    <t>FASWO2609001</t>
  </si>
  <si>
    <t>FASSI2609002</t>
  </si>
  <si>
    <t>VLW 3392</t>
  </si>
  <si>
    <t>FASWO2609002</t>
  </si>
  <si>
    <t>MBPSI2609004</t>
  </si>
  <si>
    <t>CFD 3401</t>
  </si>
  <si>
    <t>MBPWO2609002</t>
  </si>
  <si>
    <t>HBPSI2609002</t>
  </si>
  <si>
    <t>HBPWO2609002</t>
  </si>
  <si>
    <t>SYU 1218</t>
  </si>
  <si>
    <t>HBPIV2609001</t>
  </si>
  <si>
    <t>PPE 4246</t>
  </si>
  <si>
    <t>STORAGE FEE</t>
  </si>
  <si>
    <t>MBPSI2609005</t>
  </si>
  <si>
    <t>MBPSI2609006</t>
  </si>
  <si>
    <t>MBPSI2609007</t>
  </si>
  <si>
    <t>CBV 41</t>
  </si>
  <si>
    <t>A03322</t>
  </si>
  <si>
    <t>H054041</t>
  </si>
  <si>
    <t>MBPWO2609004</t>
  </si>
  <si>
    <t>MBPWO2609003</t>
  </si>
  <si>
    <t>MBPWO2609008</t>
  </si>
  <si>
    <t>HBPSI2609003</t>
  </si>
  <si>
    <t>VKW 1600</t>
  </si>
  <si>
    <t>HBPWO2604002</t>
  </si>
  <si>
    <t>MBPSI2609008</t>
  </si>
  <si>
    <t>VQK 4472</t>
  </si>
  <si>
    <t>MBPWO2609010</t>
  </si>
  <si>
    <t xml:space="preserve">SUHADAH BINTI MENHAD  </t>
  </si>
  <si>
    <t>MBPIV2609001</t>
  </si>
  <si>
    <t>W401Y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</si>
</sst>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 * #,##0.00_ ;_ * \-#,##0.00_ ;_ * &quot;-&quot;??_ ;_ @_ "/>
    <numFmt numFmtId="166" formatCode="_ * #,##0_ ;_ * \-#,##0_ ;_ * &quot;-&quot;??_ ;_ @_ "/>
  </numFmts>
  <fonts count="5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 style="medium">
        <color indexed="64"/>
      </right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auto="1"/>
      </left>
      <right style="medium">
        <color indexed="64"/>
      </right>
      <top style="dashed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>
      <alignment vertical="center"/>
    </xf>
    <xf numFmtId="165" fontId="38" fillId="0" borderId="0" applyFont="0" applyFill="0" applyBorder="0" applyAlignment="0" applyProtection="0">
      <alignment vertical="center"/>
    </xf>
    <xf numFmtId="0" fontId="34" fillId="0" borderId="0"/>
    <xf numFmtId="43" fontId="34" fillId="0" borderId="0" applyFont="0" applyFill="0" applyBorder="0" applyAlignment="0" applyProtection="0"/>
  </cellStyleXfs>
  <cellXfs count="260">
    <xf numFmtId="0" fontId="0" fillId="0" borderId="0" xfId="0">
      <alignment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165" fontId="0" fillId="0" borderId="0" xfId="1" applyFont="1" applyFill="1" applyBorder="1" applyAlignment="1">
      <alignment horizontal="center"/>
    </xf>
    <xf numFmtId="165" fontId="39" fillId="0" borderId="1" xfId="1" applyFont="1" applyFill="1" applyBorder="1" applyAlignment="1"/>
    <xf numFmtId="165" fontId="39" fillId="0" borderId="0" xfId="1" applyFont="1" applyFill="1" applyAlignment="1"/>
    <xf numFmtId="166" fontId="39" fillId="0" borderId="0" xfId="1" applyNumberFormat="1" applyFont="1" applyFill="1" applyAlignment="1">
      <alignment horizontal="center" vertical="center"/>
    </xf>
    <xf numFmtId="165" fontId="0" fillId="0" borderId="0" xfId="1" applyFont="1" applyFill="1" applyBorder="1" applyAlignment="1"/>
    <xf numFmtId="165" fontId="39" fillId="0" borderId="0" xfId="1" applyFont="1" applyFill="1" applyBorder="1" applyAlignment="1"/>
    <xf numFmtId="165" fontId="39" fillId="0" borderId="0" xfId="1" applyFont="1" applyFill="1" applyBorder="1" applyAlignment="1">
      <alignment horizontal="center"/>
    </xf>
    <xf numFmtId="43" fontId="39" fillId="0" borderId="0" xfId="0" applyNumberFormat="1" applyFont="1">
      <alignment vertical="center"/>
    </xf>
    <xf numFmtId="0" fontId="39" fillId="0" borderId="1" xfId="1" applyNumberFormat="1" applyFont="1" applyFill="1" applyBorder="1" applyAlignment="1">
      <alignment horizontal="center"/>
    </xf>
    <xf numFmtId="165" fontId="0" fillId="0" borderId="0" xfId="1" applyFont="1" applyBorder="1" applyAlignment="1"/>
    <xf numFmtId="0" fontId="39" fillId="0" borderId="6" xfId="0" applyFont="1" applyBorder="1">
      <alignment vertical="center"/>
    </xf>
    <xf numFmtId="0" fontId="39" fillId="0" borderId="7" xfId="0" applyFont="1" applyBorder="1">
      <alignment vertical="center"/>
    </xf>
    <xf numFmtId="0" fontId="39" fillId="0" borderId="8" xfId="0" applyFont="1" applyBorder="1">
      <alignment vertical="center"/>
    </xf>
    <xf numFmtId="0" fontId="39" fillId="0" borderId="0" xfId="0" applyFont="1" applyAlignment="1">
      <alignment horizontal="center"/>
    </xf>
    <xf numFmtId="0" fontId="39" fillId="0" borderId="0" xfId="0" applyFont="1">
      <alignment vertical="center"/>
    </xf>
    <xf numFmtId="0" fontId="0" fillId="0" borderId="10" xfId="1" applyNumberFormat="1" applyFont="1" applyFill="1" applyBorder="1" applyAlignment="1">
      <alignment horizontal="center" vertical="center"/>
    </xf>
    <xf numFmtId="165" fontId="0" fillId="0" borderId="9" xfId="1" applyFont="1" applyFill="1" applyBorder="1" applyAlignment="1"/>
    <xf numFmtId="165" fontId="0" fillId="0" borderId="9" xfId="1" applyFont="1" applyBorder="1" applyAlignment="1"/>
    <xf numFmtId="0" fontId="0" fillId="0" borderId="10" xfId="1" applyNumberFormat="1" applyFont="1" applyFill="1" applyBorder="1" applyAlignment="1">
      <alignment horizontal="center"/>
    </xf>
    <xf numFmtId="165" fontId="0" fillId="0" borderId="9" xfId="1" applyFont="1" applyFill="1" applyBorder="1" applyAlignment="1">
      <alignment horizontal="center"/>
    </xf>
    <xf numFmtId="0" fontId="0" fillId="0" borderId="10" xfId="1" applyNumberFormat="1" applyFont="1" applyBorder="1" applyAlignment="1">
      <alignment horizontal="center"/>
    </xf>
    <xf numFmtId="165" fontId="0" fillId="0" borderId="9" xfId="1" applyFont="1" applyBorder="1" applyAlignment="1">
      <alignment horizontal="center"/>
    </xf>
    <xf numFmtId="0" fontId="0" fillId="0" borderId="11" xfId="1" applyNumberFormat="1" applyFont="1" applyFill="1" applyBorder="1" applyAlignment="1">
      <alignment horizontal="center" vertical="center"/>
    </xf>
    <xf numFmtId="165" fontId="0" fillId="0" borderId="13" xfId="1" applyFont="1" applyBorder="1" applyAlignment="1"/>
    <xf numFmtId="0" fontId="0" fillId="0" borderId="11" xfId="1" applyNumberFormat="1" applyFont="1" applyBorder="1" applyAlignment="1">
      <alignment horizontal="center"/>
    </xf>
    <xf numFmtId="165" fontId="0" fillId="0" borderId="13" xfId="1" applyFont="1" applyBorder="1" applyAlignment="1">
      <alignment horizontal="center"/>
    </xf>
    <xf numFmtId="165" fontId="0" fillId="0" borderId="12" xfId="1" applyFont="1" applyBorder="1" applyAlignment="1">
      <alignment horizontal="center"/>
    </xf>
    <xf numFmtId="0" fontId="39" fillId="0" borderId="3" xfId="0" applyFont="1" applyBorder="1" applyAlignment="1">
      <alignment horizontal="center"/>
    </xf>
    <xf numFmtId="0" fontId="39" fillId="0" borderId="4" xfId="0" applyFont="1" applyBorder="1" applyAlignment="1">
      <alignment horizontal="center"/>
    </xf>
    <xf numFmtId="0" fontId="39" fillId="0" borderId="5" xfId="0" applyFont="1" applyBorder="1" applyAlignment="1">
      <alignment horizontal="center"/>
    </xf>
    <xf numFmtId="0" fontId="39" fillId="0" borderId="14" xfId="0" applyFont="1" applyBorder="1" applyAlignment="1">
      <alignment horizontal="center"/>
    </xf>
    <xf numFmtId="165" fontId="0" fillId="0" borderId="15" xfId="1" applyFont="1" applyFill="1" applyBorder="1" applyAlignment="1"/>
    <xf numFmtId="0" fontId="39" fillId="0" borderId="16" xfId="0" applyFont="1" applyBorder="1" applyAlignment="1">
      <alignment horizontal="center"/>
    </xf>
    <xf numFmtId="165" fontId="0" fillId="0" borderId="17" xfId="1" applyFont="1" applyFill="1" applyBorder="1" applyAlignment="1"/>
    <xf numFmtId="165" fontId="0" fillId="0" borderId="17" xfId="1" applyFont="1" applyBorder="1" applyAlignment="1"/>
    <xf numFmtId="165" fontId="0" fillId="0" borderId="15" xfId="1" applyFont="1" applyBorder="1" applyAlignment="1"/>
    <xf numFmtId="165" fontId="0" fillId="0" borderId="15" xfId="1" applyFont="1" applyFill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1" xfId="1" applyNumberFormat="1" applyFont="1" applyFill="1" applyBorder="1" applyAlignment="1">
      <alignment horizontal="center" vertical="center"/>
    </xf>
    <xf numFmtId="165" fontId="0" fillId="0" borderId="24" xfId="1" applyFont="1" applyFill="1" applyBorder="1" applyAlignment="1"/>
    <xf numFmtId="165" fontId="0" fillId="0" borderId="24" xfId="1" applyFont="1" applyBorder="1" applyAlignment="1"/>
    <xf numFmtId="165" fontId="0" fillId="0" borderId="24" xfId="1" applyFont="1" applyBorder="1" applyAlignment="1">
      <alignment horizontal="center"/>
    </xf>
    <xf numFmtId="165" fontId="0" fillId="0" borderId="25" xfId="1" applyFont="1" applyBorder="1" applyAlignment="1"/>
    <xf numFmtId="0" fontId="0" fillId="0" borderId="20" xfId="1" applyNumberFormat="1" applyFont="1" applyFill="1" applyBorder="1" applyAlignment="1">
      <alignment horizontal="center" vertical="center"/>
    </xf>
    <xf numFmtId="0" fontId="0" fillId="0" borderId="22" xfId="1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165" fontId="0" fillId="0" borderId="0" xfId="1" applyFont="1">
      <alignment vertical="center"/>
    </xf>
    <xf numFmtId="164" fontId="0" fillId="0" borderId="0" xfId="0" applyNumberFormat="1">
      <alignment vertical="center"/>
    </xf>
    <xf numFmtId="0" fontId="39" fillId="0" borderId="0" xfId="1" applyNumberFormat="1" applyFont="1" applyFill="1" applyBorder="1" applyAlignment="1">
      <alignment horizontal="center" vertical="center"/>
    </xf>
    <xf numFmtId="0" fontId="39" fillId="0" borderId="0" xfId="1" applyNumberFormat="1" applyFont="1" applyFill="1" applyBorder="1" applyAlignment="1">
      <alignment horizontal="center"/>
    </xf>
    <xf numFmtId="165" fontId="39" fillId="0" borderId="0" xfId="1" applyFont="1" applyFill="1" applyBorder="1" applyAlignment="1">
      <alignment horizontal="right"/>
    </xf>
    <xf numFmtId="0" fontId="39" fillId="0" borderId="19" xfId="0" applyFont="1" applyBorder="1" applyAlignment="1">
      <alignment horizontal="center"/>
    </xf>
    <xf numFmtId="0" fontId="0" fillId="0" borderId="23" xfId="0" applyBorder="1">
      <alignment vertical="center"/>
    </xf>
    <xf numFmtId="0" fontId="0" fillId="0" borderId="2" xfId="0" applyBorder="1">
      <alignment vertical="center"/>
    </xf>
    <xf numFmtId="0" fontId="39" fillId="2" borderId="18" xfId="0" applyFont="1" applyFill="1" applyBorder="1" applyAlignment="1">
      <alignment horizontal="center"/>
    </xf>
    <xf numFmtId="0" fontId="39" fillId="2" borderId="19" xfId="0" applyFont="1" applyFill="1" applyBorder="1" applyAlignment="1">
      <alignment horizontal="center"/>
    </xf>
    <xf numFmtId="49" fontId="0" fillId="2" borderId="20" xfId="1" applyNumberFormat="1" applyFont="1" applyFill="1" applyBorder="1" applyAlignment="1">
      <alignment horizontal="center" vertical="center"/>
    </xf>
    <xf numFmtId="165" fontId="0" fillId="2" borderId="21" xfId="1" applyFont="1" applyFill="1" applyBorder="1" applyAlignment="1"/>
    <xf numFmtId="49" fontId="0" fillId="2" borderId="22" xfId="1" applyNumberFormat="1" applyFont="1" applyFill="1" applyBorder="1" applyAlignment="1">
      <alignment horizontal="center" vertical="center"/>
    </xf>
    <xf numFmtId="165" fontId="0" fillId="2" borderId="23" xfId="1" applyFont="1" applyFill="1" applyBorder="1" applyAlignment="1"/>
    <xf numFmtId="0" fontId="39" fillId="2" borderId="11" xfId="1" applyNumberFormat="1" applyFont="1" applyFill="1" applyBorder="1" applyAlignment="1">
      <alignment horizontal="center" vertical="center"/>
    </xf>
    <xf numFmtId="165" fontId="39" fillId="2" borderId="13" xfId="1" applyFont="1" applyFill="1" applyBorder="1" applyAlignment="1"/>
    <xf numFmtId="0" fontId="39" fillId="2" borderId="27" xfId="0" applyFont="1" applyFill="1" applyBorder="1" applyAlignment="1">
      <alignment horizontal="center"/>
    </xf>
    <xf numFmtId="0" fontId="37" fillId="2" borderId="28" xfId="1" applyNumberFormat="1" applyFont="1" applyFill="1" applyBorder="1" applyAlignment="1">
      <alignment horizontal="center" vertical="center"/>
    </xf>
    <xf numFmtId="0" fontId="37" fillId="2" borderId="29" xfId="1" applyNumberFormat="1" applyFont="1" applyFill="1" applyBorder="1" applyAlignment="1">
      <alignment horizontal="center" vertical="center"/>
    </xf>
    <xf numFmtId="0" fontId="39" fillId="2" borderId="1" xfId="1" applyNumberFormat="1" applyFont="1" applyFill="1" applyBorder="1" applyAlignment="1">
      <alignment horizontal="center" vertical="center"/>
    </xf>
    <xf numFmtId="165" fontId="39" fillId="2" borderId="1" xfId="1" applyFont="1" applyFill="1" applyBorder="1" applyAlignment="1"/>
    <xf numFmtId="49" fontId="0" fillId="2" borderId="15" xfId="1" applyNumberFormat="1" applyFont="1" applyFill="1" applyBorder="1" applyAlignment="1">
      <alignment horizontal="center" vertical="center"/>
    </xf>
    <xf numFmtId="49" fontId="0" fillId="2" borderId="24" xfId="1" applyNumberFormat="1" applyFont="1" applyFill="1" applyBorder="1" applyAlignment="1">
      <alignment horizontal="center" vertical="center"/>
    </xf>
    <xf numFmtId="165" fontId="0" fillId="0" borderId="21" xfId="1" applyFont="1" applyFill="1" applyBorder="1" applyAlignment="1"/>
    <xf numFmtId="165" fontId="0" fillId="0" borderId="23" xfId="1" applyFont="1" applyFill="1" applyBorder="1" applyAlignment="1"/>
    <xf numFmtId="0" fontId="0" fillId="0" borderId="0" xfId="1" applyNumberFormat="1" applyFont="1" applyFill="1" applyBorder="1" applyAlignment="1">
      <alignment horizontal="center" vertical="center"/>
    </xf>
    <xf numFmtId="165" fontId="0" fillId="0" borderId="25" xfId="1" applyFont="1" applyFill="1" applyBorder="1" applyAlignment="1"/>
    <xf numFmtId="0" fontId="42" fillId="0" borderId="0" xfId="0" applyFont="1" applyAlignment="1">
      <alignment horizontal="right" vertical="center"/>
    </xf>
    <xf numFmtId="0" fontId="36" fillId="0" borderId="0" xfId="0" applyFont="1">
      <alignment vertical="center"/>
    </xf>
    <xf numFmtId="165" fontId="0" fillId="0" borderId="0" xfId="1" applyFont="1" applyFill="1">
      <alignment vertical="center"/>
    </xf>
    <xf numFmtId="10" fontId="0" fillId="0" borderId="0" xfId="0" applyNumberFormat="1">
      <alignment vertical="center"/>
    </xf>
    <xf numFmtId="0" fontId="35" fillId="0" borderId="0" xfId="0" applyFont="1">
      <alignment vertical="center"/>
    </xf>
    <xf numFmtId="0" fontId="39" fillId="0" borderId="2" xfId="0" applyFont="1" applyBorder="1">
      <alignment vertical="center"/>
    </xf>
    <xf numFmtId="165" fontId="0" fillId="0" borderId="2" xfId="1" applyFont="1" applyFill="1" applyBorder="1">
      <alignment vertical="center"/>
    </xf>
    <xf numFmtId="10" fontId="0" fillId="0" borderId="2" xfId="0" applyNumberFormat="1" applyBorder="1" applyAlignment="1">
      <alignment horizontal="right" vertical="center"/>
    </xf>
    <xf numFmtId="10" fontId="0" fillId="0" borderId="2" xfId="0" applyNumberFormat="1" applyBorder="1">
      <alignment vertical="center"/>
    </xf>
    <xf numFmtId="0" fontId="42" fillId="0" borderId="10" xfId="0" applyFont="1" applyBorder="1" applyAlignment="1">
      <alignment horizontal="right" vertical="center"/>
    </xf>
    <xf numFmtId="0" fontId="42" fillId="0" borderId="9" xfId="0" applyFont="1" applyBorder="1" applyAlignment="1">
      <alignment horizontal="right" vertical="center"/>
    </xf>
    <xf numFmtId="10" fontId="0" fillId="0" borderId="10" xfId="0" applyNumberFormat="1" applyBorder="1">
      <alignment vertical="center"/>
    </xf>
    <xf numFmtId="10" fontId="0" fillId="0" borderId="9" xfId="0" applyNumberFormat="1" applyBorder="1">
      <alignment vertical="center"/>
    </xf>
    <xf numFmtId="10" fontId="0" fillId="0" borderId="11" xfId="0" applyNumberFormat="1" applyBorder="1">
      <alignment vertical="center"/>
    </xf>
    <xf numFmtId="10" fontId="0" fillId="0" borderId="12" xfId="0" applyNumberFormat="1" applyBorder="1">
      <alignment vertical="center"/>
    </xf>
    <xf numFmtId="10" fontId="0" fillId="0" borderId="13" xfId="0" applyNumberFormat="1" applyBorder="1">
      <alignment vertical="center"/>
    </xf>
    <xf numFmtId="0" fontId="34" fillId="0" borderId="0" xfId="2"/>
    <xf numFmtId="14" fontId="34" fillId="0" borderId="0" xfId="2" applyNumberFormat="1"/>
    <xf numFmtId="43" fontId="0" fillId="0" borderId="0" xfId="3" applyFont="1"/>
    <xf numFmtId="0" fontId="34" fillId="0" borderId="12" xfId="2" applyBorder="1"/>
    <xf numFmtId="43" fontId="0" fillId="0" borderId="12" xfId="3" applyFont="1" applyBorder="1"/>
    <xf numFmtId="14" fontId="34" fillId="0" borderId="12" xfId="2" applyNumberFormat="1" applyBorder="1"/>
    <xf numFmtId="43" fontId="0" fillId="4" borderId="0" xfId="3" applyFont="1" applyFill="1"/>
    <xf numFmtId="43" fontId="0" fillId="4" borderId="12" xfId="3" applyFont="1" applyFill="1" applyBorder="1"/>
    <xf numFmtId="0" fontId="34" fillId="4" borderId="0" xfId="2" applyFill="1"/>
    <xf numFmtId="14" fontId="34" fillId="4" borderId="0" xfId="2" applyNumberFormat="1" applyFill="1"/>
    <xf numFmtId="0" fontId="34" fillId="4" borderId="12" xfId="2" applyFill="1" applyBorder="1"/>
    <xf numFmtId="14" fontId="34" fillId="4" borderId="12" xfId="2" applyNumberFormat="1" applyFill="1" applyBorder="1"/>
    <xf numFmtId="14" fontId="0" fillId="0" borderId="0" xfId="0" applyNumberFormat="1">
      <alignment vertical="center"/>
    </xf>
    <xf numFmtId="0" fontId="43" fillId="0" borderId="0" xfId="0" applyFont="1">
      <alignment vertical="center"/>
    </xf>
    <xf numFmtId="14" fontId="43" fillId="0" borderId="0" xfId="0" applyNumberFormat="1" applyFont="1">
      <alignment vertical="center"/>
    </xf>
    <xf numFmtId="165" fontId="43" fillId="0" borderId="0" xfId="1" applyFont="1">
      <alignment vertical="center"/>
    </xf>
    <xf numFmtId="0" fontId="0" fillId="0" borderId="12" xfId="0" applyBorder="1">
      <alignment vertical="center"/>
    </xf>
    <xf numFmtId="14" fontId="0" fillId="0" borderId="12" xfId="0" applyNumberFormat="1" applyBorder="1">
      <alignment vertical="center"/>
    </xf>
    <xf numFmtId="165" fontId="0" fillId="0" borderId="12" xfId="1" applyFont="1" applyBorder="1">
      <alignment vertical="center"/>
    </xf>
    <xf numFmtId="0" fontId="34" fillId="0" borderId="0" xfId="0" applyFont="1">
      <alignment vertical="center"/>
    </xf>
    <xf numFmtId="0" fontId="34" fillId="0" borderId="12" xfId="0" applyFont="1" applyBorder="1">
      <alignment vertical="center"/>
    </xf>
    <xf numFmtId="165" fontId="34" fillId="0" borderId="0" xfId="1" applyFont="1">
      <alignment vertical="center"/>
    </xf>
    <xf numFmtId="0" fontId="33" fillId="0" borderId="0" xfId="2" applyFont="1"/>
    <xf numFmtId="0" fontId="33" fillId="0" borderId="12" xfId="2" applyFont="1" applyBorder="1"/>
    <xf numFmtId="165" fontId="0" fillId="0" borderId="32" xfId="1" applyFont="1" applyFill="1" applyBorder="1" applyAlignment="1"/>
    <xf numFmtId="0" fontId="33" fillId="4" borderId="0" xfId="2" applyFont="1" applyFill="1"/>
    <xf numFmtId="0" fontId="33" fillId="4" borderId="12" xfId="2" applyFont="1" applyFill="1" applyBorder="1"/>
    <xf numFmtId="0" fontId="33" fillId="0" borderId="0" xfId="0" applyFont="1">
      <alignment vertical="center"/>
    </xf>
    <xf numFmtId="0" fontId="0" fillId="4" borderId="0" xfId="0" applyFill="1">
      <alignment vertical="center"/>
    </xf>
    <xf numFmtId="14" fontId="0" fillId="4" borderId="0" xfId="0" applyNumberFormat="1" applyFill="1">
      <alignment vertical="center"/>
    </xf>
    <xf numFmtId="165" fontId="0" fillId="4" borderId="0" xfId="1" applyFont="1" applyFill="1">
      <alignment vertical="center"/>
    </xf>
    <xf numFmtId="165" fontId="0" fillId="0" borderId="0" xfId="0" applyNumberFormat="1">
      <alignment vertical="center"/>
    </xf>
    <xf numFmtId="43" fontId="0" fillId="0" borderId="0" xfId="0" applyNumberFormat="1">
      <alignment vertical="center"/>
    </xf>
    <xf numFmtId="43" fontId="39" fillId="0" borderId="1" xfId="0" applyNumberFormat="1" applyFont="1" applyBorder="1">
      <alignment vertical="center"/>
    </xf>
    <xf numFmtId="43" fontId="34" fillId="0" borderId="0" xfId="2" applyNumberFormat="1"/>
    <xf numFmtId="43" fontId="39" fillId="0" borderId="1" xfId="2" applyNumberFormat="1" applyFont="1" applyBorder="1"/>
    <xf numFmtId="165" fontId="39" fillId="0" borderId="1" xfId="1" applyFont="1" applyBorder="1">
      <alignment vertical="center"/>
    </xf>
    <xf numFmtId="0" fontId="42" fillId="0" borderId="0" xfId="0" applyFont="1">
      <alignment vertical="center"/>
    </xf>
    <xf numFmtId="14" fontId="33" fillId="0" borderId="0" xfId="0" applyNumberFormat="1" applyFont="1">
      <alignment vertical="center"/>
    </xf>
    <xf numFmtId="0" fontId="44" fillId="0" borderId="10" xfId="1" applyNumberFormat="1" applyFont="1" applyFill="1" applyBorder="1" applyAlignment="1">
      <alignment horizontal="center"/>
    </xf>
    <xf numFmtId="165" fontId="44" fillId="0" borderId="17" xfId="1" applyFont="1" applyFill="1" applyBorder="1" applyAlignment="1"/>
    <xf numFmtId="0" fontId="43" fillId="0" borderId="0" xfId="2" applyFont="1"/>
    <xf numFmtId="14" fontId="43" fillId="0" borderId="0" xfId="2" applyNumberFormat="1" applyFont="1"/>
    <xf numFmtId="43" fontId="43" fillId="0" borderId="0" xfId="3" applyFont="1" applyFill="1"/>
    <xf numFmtId="0" fontId="43" fillId="0" borderId="12" xfId="2" applyFont="1" applyBorder="1"/>
    <xf numFmtId="14" fontId="43" fillId="0" borderId="12" xfId="2" applyNumberFormat="1" applyFont="1" applyBorder="1"/>
    <xf numFmtId="43" fontId="43" fillId="0" borderId="12" xfId="3" applyFont="1" applyFill="1" applyBorder="1"/>
    <xf numFmtId="165" fontId="39" fillId="0" borderId="1" xfId="2" applyNumberFormat="1" applyFont="1" applyBorder="1"/>
    <xf numFmtId="165" fontId="0" fillId="0" borderId="29" xfId="1" applyFont="1" applyFill="1" applyBorder="1" applyAlignment="1"/>
    <xf numFmtId="0" fontId="39" fillId="0" borderId="27" xfId="0" applyFont="1" applyBorder="1" applyAlignment="1">
      <alignment horizontal="center"/>
    </xf>
    <xf numFmtId="165" fontId="0" fillId="0" borderId="28" xfId="1" applyFont="1" applyFill="1" applyBorder="1" applyAlignment="1"/>
    <xf numFmtId="165" fontId="0" fillId="0" borderId="28" xfId="1" applyFont="1" applyBorder="1" applyAlignment="1"/>
    <xf numFmtId="165" fontId="0" fillId="0" borderId="29" xfId="1" applyFont="1" applyBorder="1" applyAlignment="1"/>
    <xf numFmtId="0" fontId="32" fillId="0" borderId="0" xfId="0" applyFont="1">
      <alignment vertical="center"/>
    </xf>
    <xf numFmtId="165" fontId="32" fillId="0" borderId="0" xfId="1" applyFont="1">
      <alignment vertical="center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165" fontId="0" fillId="0" borderId="0" xfId="1" applyFont="1" applyAlignment="1">
      <alignment vertical="top"/>
    </xf>
    <xf numFmtId="0" fontId="32" fillId="0" borderId="0" xfId="0" applyFont="1" applyAlignment="1">
      <alignment vertical="top"/>
    </xf>
    <xf numFmtId="14" fontId="46" fillId="0" borderId="0" xfId="0" applyNumberFormat="1" applyFont="1" applyAlignment="1">
      <alignment vertical="top"/>
    </xf>
    <xf numFmtId="165" fontId="39" fillId="0" borderId="1" xfId="1" applyFont="1" applyBorder="1" applyAlignment="1">
      <alignment vertical="top"/>
    </xf>
    <xf numFmtId="14" fontId="32" fillId="0" borderId="0" xfId="0" applyNumberFormat="1" applyFont="1" applyAlignment="1">
      <alignment vertical="top"/>
    </xf>
    <xf numFmtId="0" fontId="0" fillId="0" borderId="0" xfId="1" applyNumberFormat="1" applyFont="1" applyFill="1" applyBorder="1" applyAlignment="1">
      <alignment horizontal="center"/>
    </xf>
    <xf numFmtId="43" fontId="0" fillId="0" borderId="21" xfId="0" applyNumberFormat="1" applyBorder="1">
      <alignment vertical="center"/>
    </xf>
    <xf numFmtId="0" fontId="31" fillId="0" borderId="0" xfId="0" applyFont="1">
      <alignment vertical="center"/>
    </xf>
    <xf numFmtId="14" fontId="47" fillId="0" borderId="0" xfId="0" applyNumberFormat="1" applyFont="1" applyAlignment="1">
      <alignment vertical="top" wrapText="1"/>
    </xf>
    <xf numFmtId="165" fontId="31" fillId="0" borderId="0" xfId="1" applyFont="1">
      <alignment vertical="center"/>
    </xf>
    <xf numFmtId="0" fontId="30" fillId="0" borderId="0" xfId="0" applyFont="1">
      <alignment vertical="center"/>
    </xf>
    <xf numFmtId="17" fontId="39" fillId="0" borderId="7" xfId="0" applyNumberFormat="1" applyFont="1" applyBorder="1">
      <alignment vertical="center"/>
    </xf>
    <xf numFmtId="17" fontId="39" fillId="0" borderId="33" xfId="0" applyNumberFormat="1" applyFont="1" applyBorder="1">
      <alignment vertical="center"/>
    </xf>
    <xf numFmtId="0" fontId="0" fillId="0" borderId="13" xfId="0" applyBorder="1">
      <alignment vertical="center"/>
    </xf>
    <xf numFmtId="165" fontId="0" fillId="0" borderId="0" xfId="1" applyFont="1" applyBorder="1" applyAlignment="1">
      <alignment horizontal="center"/>
    </xf>
    <xf numFmtId="17" fontId="39" fillId="0" borderId="6" xfId="0" applyNumberFormat="1" applyFont="1" applyBorder="1">
      <alignment vertical="center"/>
    </xf>
    <xf numFmtId="17" fontId="39" fillId="0" borderId="8" xfId="0" applyNumberFormat="1" applyFont="1" applyBorder="1">
      <alignment vertical="center"/>
    </xf>
    <xf numFmtId="165" fontId="0" fillId="0" borderId="13" xfId="1" applyFont="1" applyFill="1" applyBorder="1" applyAlignment="1"/>
    <xf numFmtId="0" fontId="0" fillId="0" borderId="11" xfId="1" applyNumberFormat="1" applyFont="1" applyFill="1" applyBorder="1" applyAlignment="1">
      <alignment horizontal="center"/>
    </xf>
    <xf numFmtId="165" fontId="0" fillId="0" borderId="13" xfId="1" applyFont="1" applyFill="1" applyBorder="1" applyAlignment="1">
      <alignment horizontal="center"/>
    </xf>
    <xf numFmtId="165" fontId="0" fillId="0" borderId="12" xfId="1" applyFont="1" applyFill="1" applyBorder="1" applyAlignment="1"/>
    <xf numFmtId="17" fontId="39" fillId="0" borderId="35" xfId="0" applyNumberFormat="1" applyFont="1" applyBorder="1">
      <alignment vertical="center"/>
    </xf>
    <xf numFmtId="17" fontId="39" fillId="0" borderId="34" xfId="0" applyNumberFormat="1" applyFont="1" applyBorder="1">
      <alignment vertical="center"/>
    </xf>
    <xf numFmtId="165" fontId="0" fillId="0" borderId="21" xfId="1" applyFont="1" applyBorder="1" applyAlignment="1"/>
    <xf numFmtId="0" fontId="0" fillId="0" borderId="20" xfId="1" applyNumberFormat="1" applyFont="1" applyFill="1" applyBorder="1" applyAlignment="1">
      <alignment horizontal="center"/>
    </xf>
    <xf numFmtId="165" fontId="0" fillId="0" borderId="21" xfId="1" applyFont="1" applyFill="1" applyBorder="1" applyAlignment="1">
      <alignment horizontal="center"/>
    </xf>
    <xf numFmtId="165" fontId="0" fillId="0" borderId="15" xfId="1" applyFont="1" applyBorder="1" applyAlignment="1">
      <alignment horizontal="center"/>
    </xf>
    <xf numFmtId="49" fontId="39" fillId="2" borderId="11" xfId="1" applyNumberFormat="1" applyFont="1" applyFill="1" applyBorder="1" applyAlignment="1">
      <alignment horizontal="center" vertical="center"/>
    </xf>
    <xf numFmtId="0" fontId="0" fillId="0" borderId="12" xfId="0" applyBorder="1" applyAlignment="1">
      <alignment vertical="top"/>
    </xf>
    <xf numFmtId="14" fontId="0" fillId="0" borderId="12" xfId="0" applyNumberFormat="1" applyBorder="1" applyAlignment="1">
      <alignment vertical="top"/>
    </xf>
    <xf numFmtId="165" fontId="0" fillId="0" borderId="12" xfId="1" applyFont="1" applyBorder="1" applyAlignment="1">
      <alignment vertical="top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165" fontId="0" fillId="0" borderId="0" xfId="1" applyFont="1" applyAlignment="1">
      <alignment horizontal="left" vertical="center"/>
    </xf>
    <xf numFmtId="49" fontId="39" fillId="2" borderId="36" xfId="1" applyNumberFormat="1" applyFont="1" applyFill="1" applyBorder="1" applyAlignment="1">
      <alignment horizontal="center" vertical="center"/>
    </xf>
    <xf numFmtId="165" fontId="39" fillId="2" borderId="37" xfId="1" applyFont="1" applyFill="1" applyBorder="1" applyAlignment="1"/>
    <xf numFmtId="165" fontId="39" fillId="0" borderId="1" xfId="1" applyFont="1" applyFill="1" applyBorder="1" applyAlignment="1">
      <alignment horizontal="center" vertical="center"/>
    </xf>
    <xf numFmtId="0" fontId="29" fillId="0" borderId="0" xfId="0" applyFont="1">
      <alignment vertical="center"/>
    </xf>
    <xf numFmtId="165" fontId="39" fillId="0" borderId="0" xfId="1" applyFont="1" applyFill="1" applyBorder="1" applyAlignment="1">
      <alignment horizontal="center" vertical="center"/>
    </xf>
    <xf numFmtId="49" fontId="39" fillId="0" borderId="0" xfId="1" applyNumberFormat="1" applyFont="1" applyFill="1" applyBorder="1" applyAlignment="1">
      <alignment horizontal="center" vertical="center"/>
    </xf>
    <xf numFmtId="17" fontId="39" fillId="0" borderId="38" xfId="0" applyNumberFormat="1" applyFont="1" applyBorder="1">
      <alignment vertical="center"/>
    </xf>
    <xf numFmtId="0" fontId="28" fillId="0" borderId="10" xfId="0" applyFont="1" applyBorder="1" applyAlignment="1">
      <alignment horizontal="center"/>
    </xf>
    <xf numFmtId="0" fontId="27" fillId="0" borderId="0" xfId="0" applyFont="1">
      <alignment vertical="center"/>
    </xf>
    <xf numFmtId="14" fontId="27" fillId="0" borderId="0" xfId="0" applyNumberFormat="1" applyFont="1" applyAlignment="1">
      <alignment vertical="top"/>
    </xf>
    <xf numFmtId="0" fontId="39" fillId="5" borderId="14" xfId="0" applyFont="1" applyFill="1" applyBorder="1" applyAlignment="1">
      <alignment horizontal="center"/>
    </xf>
    <xf numFmtId="165" fontId="0" fillId="5" borderId="15" xfId="1" applyFont="1" applyFill="1" applyBorder="1" applyAlignment="1"/>
    <xf numFmtId="165" fontId="0" fillId="5" borderId="24" xfId="1" applyFont="1" applyFill="1" applyBorder="1" applyAlignment="1"/>
    <xf numFmtId="165" fontId="39" fillId="5" borderId="1" xfId="1" applyFont="1" applyFill="1" applyBorder="1" applyAlignment="1"/>
    <xf numFmtId="0" fontId="26" fillId="0" borderId="0" xfId="0" applyFont="1">
      <alignment vertical="center"/>
    </xf>
    <xf numFmtId="165" fontId="0" fillId="5" borderId="0" xfId="1" applyFont="1" applyFill="1" applyAlignment="1">
      <alignment vertical="top"/>
    </xf>
    <xf numFmtId="165" fontId="0" fillId="5" borderId="32" xfId="1" applyFont="1" applyFill="1" applyBorder="1" applyAlignment="1"/>
    <xf numFmtId="0" fontId="25" fillId="0" borderId="0" xfId="0" applyFont="1">
      <alignment vertical="center"/>
    </xf>
    <xf numFmtId="0" fontId="24" fillId="0" borderId="0" xfId="0" applyFont="1">
      <alignment vertical="center"/>
    </xf>
    <xf numFmtId="0" fontId="23" fillId="0" borderId="0" xfId="0" applyFont="1">
      <alignment vertical="center"/>
    </xf>
    <xf numFmtId="0" fontId="22" fillId="0" borderId="0" xfId="0" applyFont="1">
      <alignment vertical="center"/>
    </xf>
    <xf numFmtId="0" fontId="21" fillId="0" borderId="0" xfId="0" applyFont="1">
      <alignment vertical="center"/>
    </xf>
    <xf numFmtId="165" fontId="0" fillId="0" borderId="0" xfId="1" applyFont="1" applyBorder="1" applyAlignment="1">
      <alignment vertical="top"/>
    </xf>
    <xf numFmtId="43" fontId="0" fillId="0" borderId="0" xfId="1" applyNumberFormat="1" applyFont="1" applyBorder="1" applyAlignment="1">
      <alignment vertical="top"/>
    </xf>
    <xf numFmtId="165" fontId="0" fillId="0" borderId="0" xfId="1" applyFont="1" applyBorder="1">
      <alignment vertical="center"/>
    </xf>
    <xf numFmtId="0" fontId="20" fillId="0" borderId="0" xfId="0" applyFont="1" applyAlignment="1">
      <alignment vertical="top"/>
    </xf>
    <xf numFmtId="0" fontId="20" fillId="0" borderId="0" xfId="0" applyFont="1">
      <alignment vertical="center"/>
    </xf>
    <xf numFmtId="0" fontId="19" fillId="0" borderId="0" xfId="0" applyFont="1">
      <alignment vertical="center"/>
    </xf>
    <xf numFmtId="0" fontId="18" fillId="0" borderId="0" xfId="0" applyFont="1">
      <alignment vertical="center"/>
    </xf>
    <xf numFmtId="165" fontId="0" fillId="0" borderId="39" xfId="1" applyFont="1" applyBorder="1">
      <alignment vertical="center"/>
    </xf>
    <xf numFmtId="0" fontId="17" fillId="0" borderId="0" xfId="0" applyFont="1" applyAlignment="1">
      <alignment vertical="top"/>
    </xf>
    <xf numFmtId="0" fontId="17" fillId="0" borderId="0" xfId="0" applyFont="1">
      <alignment vertical="center"/>
    </xf>
    <xf numFmtId="165" fontId="0" fillId="0" borderId="39" xfId="0" applyNumberFormat="1" applyBorder="1">
      <alignment vertical="center"/>
    </xf>
    <xf numFmtId="0" fontId="16" fillId="0" borderId="0" xfId="0" applyFont="1" applyAlignment="1">
      <alignment vertical="top"/>
    </xf>
    <xf numFmtId="0" fontId="16" fillId="0" borderId="0" xfId="0" applyFont="1">
      <alignment vertical="center"/>
    </xf>
    <xf numFmtId="0" fontId="15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0" fillId="0" borderId="0" xfId="0" quotePrefix="1">
      <alignment vertical="center"/>
    </xf>
    <xf numFmtId="0" fontId="12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0" borderId="0" xfId="0" applyFont="1">
      <alignment vertical="center"/>
    </xf>
    <xf numFmtId="0" fontId="8" fillId="0" borderId="0" xfId="0" applyFont="1" applyAlignment="1">
      <alignment vertical="top"/>
    </xf>
    <xf numFmtId="0" fontId="7" fillId="0" borderId="0" xfId="0" applyFont="1">
      <alignment vertical="center"/>
    </xf>
    <xf numFmtId="0" fontId="7" fillId="0" borderId="0" xfId="0" applyFont="1" applyAlignment="1">
      <alignment vertical="top"/>
    </xf>
    <xf numFmtId="0" fontId="6" fillId="0" borderId="0" xfId="0" applyFont="1">
      <alignment vertical="center"/>
    </xf>
    <xf numFmtId="0" fontId="6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3" fillId="0" borderId="0" xfId="0" applyFont="1" applyAlignment="1">
      <alignment vertical="top"/>
    </xf>
    <xf numFmtId="165" fontId="3" fillId="0" borderId="0" xfId="1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>
      <alignment vertical="center"/>
    </xf>
    <xf numFmtId="165" fontId="1" fillId="0" borderId="0" xfId="1" applyFont="1">
      <alignment vertical="center"/>
    </xf>
    <xf numFmtId="0" fontId="1" fillId="0" borderId="0" xfId="0" quotePrefix="1" applyFont="1" applyAlignment="1">
      <alignment vertical="top"/>
    </xf>
    <xf numFmtId="0" fontId="39" fillId="0" borderId="3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 wrapText="1"/>
    </xf>
    <xf numFmtId="0" fontId="39" fillId="0" borderId="4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39" fillId="2" borderId="3" xfId="0" applyFont="1" applyFill="1" applyBorder="1" applyAlignment="1">
      <alignment horizontal="center" vertical="center" wrapText="1"/>
    </xf>
    <xf numFmtId="0" fontId="39" fillId="2" borderId="5" xfId="0" applyFont="1" applyFill="1" applyBorder="1" applyAlignment="1">
      <alignment horizontal="center" vertical="center" wrapText="1"/>
    </xf>
    <xf numFmtId="165" fontId="39" fillId="3" borderId="3" xfId="1" applyFont="1" applyFill="1" applyBorder="1" applyAlignment="1">
      <alignment horizontal="center"/>
    </xf>
    <xf numFmtId="165" fontId="39" fillId="3" borderId="4" xfId="1" applyFont="1" applyFill="1" applyBorder="1" applyAlignment="1">
      <alignment horizontal="center"/>
    </xf>
    <xf numFmtId="165" fontId="39" fillId="3" borderId="5" xfId="1" applyFont="1" applyFill="1" applyBorder="1" applyAlignment="1">
      <alignment horizontal="center"/>
    </xf>
    <xf numFmtId="0" fontId="39" fillId="0" borderId="30" xfId="0" applyFont="1" applyBorder="1" applyAlignment="1">
      <alignment horizontal="center" vertical="center" wrapText="1"/>
    </xf>
    <xf numFmtId="0" fontId="39" fillId="0" borderId="31" xfId="0" applyFont="1" applyBorder="1" applyAlignment="1">
      <alignment horizontal="center" vertical="center" wrapText="1"/>
    </xf>
    <xf numFmtId="0" fontId="39" fillId="0" borderId="26" xfId="0" applyFont="1" applyBorder="1" applyAlignment="1">
      <alignment horizontal="center" vertical="center" wrapText="1"/>
    </xf>
  </cellXfs>
  <cellStyles count="4">
    <cellStyle name="Comma" xfId="1" builtinId="3"/>
    <cellStyle name="Comma 2" xfId="3" xr:uid="{0B85DD0D-8D75-4E1C-A4DE-B03DF89F81FB}"/>
    <cellStyle name="Normal" xfId="0" builtinId="0"/>
    <cellStyle name="Normal 2" xfId="2" xr:uid="{5CA035BD-0828-4D8F-8F88-8F97D929A2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DA52C-D50E-42B7-B117-5C45FE85112B}">
  <sheetPr>
    <pageSetUpPr fitToPage="1"/>
  </sheetPr>
  <dimension ref="B1:S71"/>
  <sheetViews>
    <sheetView view="pageBreakPreview" topLeftCell="A25" zoomScaleNormal="100" zoomScaleSheetLayoutView="100" workbookViewId="0">
      <selection activeCell="E50" sqref="E50"/>
    </sheetView>
  </sheetViews>
  <sheetFormatPr defaultColWidth="8.85546875" defaultRowHeight="15"/>
  <cols>
    <col min="1" max="1" width="2" customWidth="1"/>
    <col min="2" max="2" width="11.7109375" customWidth="1"/>
    <col min="3" max="3" width="8.140625" customWidth="1"/>
    <col min="4" max="7" width="14.85546875" customWidth="1"/>
    <col min="8" max="8" width="11.85546875" customWidth="1"/>
    <col min="9" max="12" width="14.85546875" customWidth="1"/>
    <col min="13" max="13" width="8.140625" customWidth="1"/>
    <col min="14" max="15" width="14.85546875" customWidth="1"/>
    <col min="16" max="16" width="8.7109375" customWidth="1"/>
    <col min="17" max="17" width="16.7109375" customWidth="1"/>
    <col min="18" max="18" width="12.7109375" bestFit="1" customWidth="1"/>
    <col min="19" max="19" width="4.85546875" customWidth="1"/>
  </cols>
  <sheetData>
    <row r="1" spans="2:19" ht="23.25">
      <c r="B1" s="1" t="s">
        <v>24</v>
      </c>
      <c r="O1" s="1"/>
    </row>
    <row r="2" spans="2:19" ht="18.75">
      <c r="B2" s="2" t="s">
        <v>45</v>
      </c>
    </row>
    <row r="3" spans="2:19" ht="15.75" thickBot="1"/>
    <row r="4" spans="2:19" ht="15.75" thickBot="1">
      <c r="C4" s="246" t="s">
        <v>0</v>
      </c>
      <c r="D4" s="247"/>
      <c r="E4" s="247"/>
      <c r="F4" s="247"/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248"/>
      <c r="R4" s="48"/>
      <c r="S4" s="48"/>
    </row>
    <row r="5" spans="2:19" ht="16.5" customHeight="1" thickBot="1">
      <c r="C5" s="249" t="s">
        <v>25</v>
      </c>
      <c r="D5" s="250"/>
      <c r="E5" s="250"/>
      <c r="F5" s="250"/>
      <c r="G5" s="251"/>
      <c r="H5" s="249" t="s">
        <v>27</v>
      </c>
      <c r="I5" s="250"/>
      <c r="J5" s="250"/>
      <c r="K5" s="250"/>
      <c r="L5" s="251"/>
      <c r="M5" s="246" t="s">
        <v>1</v>
      </c>
      <c r="N5" s="247"/>
      <c r="O5" s="248"/>
      <c r="P5" s="252" t="s">
        <v>29</v>
      </c>
      <c r="Q5" s="253"/>
      <c r="R5" s="49"/>
      <c r="S5" s="49"/>
    </row>
    <row r="6" spans="2:19" ht="15.75" thickBot="1">
      <c r="C6" s="30" t="s">
        <v>3</v>
      </c>
      <c r="D6" s="35" t="s">
        <v>48</v>
      </c>
      <c r="E6" s="33" t="s">
        <v>47</v>
      </c>
      <c r="F6" s="33" t="s">
        <v>726</v>
      </c>
      <c r="G6" s="32" t="s">
        <v>26</v>
      </c>
      <c r="H6" s="30" t="s">
        <v>28</v>
      </c>
      <c r="I6" s="35" t="s">
        <v>48</v>
      </c>
      <c r="J6" s="33" t="s">
        <v>47</v>
      </c>
      <c r="K6" s="142" t="s">
        <v>726</v>
      </c>
      <c r="L6" s="32" t="s">
        <v>26</v>
      </c>
      <c r="M6" s="30" t="s">
        <v>28</v>
      </c>
      <c r="N6" s="33" t="s">
        <v>4</v>
      </c>
      <c r="O6" s="31" t="s">
        <v>5</v>
      </c>
      <c r="P6" s="58" t="s">
        <v>28</v>
      </c>
      <c r="Q6" s="59" t="s">
        <v>29</v>
      </c>
      <c r="R6" s="16" t="s">
        <v>38</v>
      </c>
      <c r="S6" s="16"/>
    </row>
    <row r="7" spans="2:19">
      <c r="B7" s="13" t="s">
        <v>7</v>
      </c>
      <c r="C7" s="18">
        <v>2</v>
      </c>
      <c r="D7" s="36">
        <f>'HINO 2024'!G2+'HINO 2024'!G3</f>
        <v>54765.59</v>
      </c>
      <c r="E7" s="117">
        <f>'HINO 2024'!H2+'HINO 2024'!H3</f>
        <v>21180</v>
      </c>
      <c r="F7" s="34">
        <v>6366.9</v>
      </c>
      <c r="G7" s="19">
        <v>0</v>
      </c>
      <c r="H7" s="21">
        <v>1</v>
      </c>
      <c r="I7" s="36">
        <f>'HINO 2024'!G4</f>
        <v>696.06</v>
      </c>
      <c r="J7" s="34">
        <f>'HINO 2024'!H4</f>
        <v>420</v>
      </c>
      <c r="K7" s="143"/>
      <c r="L7" s="22">
        <v>0</v>
      </c>
      <c r="M7" s="21">
        <v>0</v>
      </c>
      <c r="N7" s="39">
        <v>0</v>
      </c>
      <c r="O7" s="3">
        <v>0</v>
      </c>
      <c r="P7" s="71">
        <f>SUM(C7+H7+M7)</f>
        <v>3</v>
      </c>
      <c r="Q7" s="61">
        <f>SUM(D7+E7+F7+G7+I7+J7+K7+L7+N7+O7)</f>
        <v>83428.549999999988</v>
      </c>
      <c r="R7" s="50">
        <f>Q7/P7</f>
        <v>27809.516666666663</v>
      </c>
      <c r="S7" s="50"/>
    </row>
    <row r="8" spans="2:19">
      <c r="B8" s="14" t="s">
        <v>8</v>
      </c>
      <c r="C8" s="18">
        <v>1</v>
      </c>
      <c r="D8" s="36">
        <f>'HINO 2024'!G5</f>
        <v>53446.25</v>
      </c>
      <c r="E8" s="34">
        <f>'HINO 2024'!H5</f>
        <v>6000</v>
      </c>
      <c r="F8" s="34">
        <v>0</v>
      </c>
      <c r="G8" s="19">
        <v>0</v>
      </c>
      <c r="H8" s="21">
        <v>1</v>
      </c>
      <c r="I8" s="36">
        <f>'HINO 2024'!G6</f>
        <v>506.06</v>
      </c>
      <c r="J8" s="34">
        <f>'HINO 2024'!H6</f>
        <v>420</v>
      </c>
      <c r="K8" s="143"/>
      <c r="L8" s="22">
        <v>0</v>
      </c>
      <c r="M8" s="21">
        <v>0</v>
      </c>
      <c r="N8" s="34">
        <v>0</v>
      </c>
      <c r="O8" s="7">
        <v>0</v>
      </c>
      <c r="P8" s="71">
        <f t="shared" ref="P8:P18" si="0">SUM(C8+H8+M8)</f>
        <v>2</v>
      </c>
      <c r="Q8" s="61">
        <f t="shared" ref="Q8:Q18" si="1">SUM(D8+E8+F8+G8+I8+J8+K8+L8+N8+O8)</f>
        <v>60372.31</v>
      </c>
      <c r="R8" s="50">
        <f t="shared" ref="R8:R18" si="2">Q8/P8</f>
        <v>30186.154999999999</v>
      </c>
      <c r="S8" s="50"/>
    </row>
    <row r="9" spans="2:19">
      <c r="B9" s="14" t="s">
        <v>9</v>
      </c>
      <c r="C9" s="18">
        <v>0</v>
      </c>
      <c r="D9" s="36">
        <v>0</v>
      </c>
      <c r="E9" s="34">
        <v>0</v>
      </c>
      <c r="F9" s="34">
        <v>0</v>
      </c>
      <c r="G9" s="19">
        <v>0</v>
      </c>
      <c r="H9" s="21">
        <v>1</v>
      </c>
      <c r="I9" s="36">
        <f>'HINO 2024'!G7</f>
        <v>688.08</v>
      </c>
      <c r="J9" s="34">
        <f>'HINO 2024'!H7</f>
        <v>420</v>
      </c>
      <c r="K9" s="143"/>
      <c r="L9" s="22">
        <v>0</v>
      </c>
      <c r="M9" s="21">
        <v>0</v>
      </c>
      <c r="N9" s="39">
        <v>0</v>
      </c>
      <c r="O9" s="3">
        <v>0</v>
      </c>
      <c r="P9" s="71">
        <f t="shared" si="0"/>
        <v>1</v>
      </c>
      <c r="Q9" s="61">
        <f t="shared" si="1"/>
        <v>1108.08</v>
      </c>
      <c r="R9" s="50">
        <f t="shared" si="2"/>
        <v>1108.08</v>
      </c>
      <c r="S9" s="50"/>
    </row>
    <row r="10" spans="2:19">
      <c r="B10" s="14" t="s">
        <v>10</v>
      </c>
      <c r="C10" s="18">
        <v>2</v>
      </c>
      <c r="D10" s="36">
        <f>'HINO 2024'!G10+'HINO 2024'!G11</f>
        <v>15447.13</v>
      </c>
      <c r="E10" s="34">
        <f>'HINO 2024'!H10+'HINO 2024'!H11</f>
        <v>5616</v>
      </c>
      <c r="F10" s="34">
        <v>5700</v>
      </c>
      <c r="G10" s="19">
        <v>0</v>
      </c>
      <c r="H10" s="21">
        <v>2</v>
      </c>
      <c r="I10" s="36">
        <f>'HINO 2024'!G8+'HINO 2024'!G9</f>
        <v>1759.1100000000001</v>
      </c>
      <c r="J10" s="34">
        <f>'HINO 2024'!H8+'HINO 2024'!H9</f>
        <v>840</v>
      </c>
      <c r="K10" s="143"/>
      <c r="L10" s="22">
        <v>0</v>
      </c>
      <c r="M10" s="21">
        <v>0</v>
      </c>
      <c r="N10" s="34">
        <v>0</v>
      </c>
      <c r="O10" s="7">
        <v>0</v>
      </c>
      <c r="P10" s="71">
        <f t="shared" si="0"/>
        <v>4</v>
      </c>
      <c r="Q10" s="61">
        <f t="shared" si="1"/>
        <v>29362.239999999998</v>
      </c>
      <c r="R10" s="50">
        <f t="shared" si="2"/>
        <v>7340.5599999999995</v>
      </c>
      <c r="S10" s="50"/>
    </row>
    <row r="11" spans="2:19">
      <c r="B11" s="14" t="s">
        <v>11</v>
      </c>
      <c r="C11" s="18">
        <v>2</v>
      </c>
      <c r="D11" s="36">
        <f>'HINO 2024'!G12+'HINO 2024'!G15</f>
        <v>34184.35</v>
      </c>
      <c r="E11" s="34">
        <f>'HINO 2024'!H12+'HINO 2024'!H15</f>
        <v>6768</v>
      </c>
      <c r="F11" s="34">
        <v>912</v>
      </c>
      <c r="G11" s="19">
        <v>0</v>
      </c>
      <c r="H11" s="21">
        <v>3</v>
      </c>
      <c r="I11" s="36">
        <f>'HINO 2024'!G13+'HINO 2024'!G14+'HINO 2024'!G16</f>
        <v>1585.56</v>
      </c>
      <c r="J11" s="34">
        <f>'HINO 2024'!H13+'HINO 2024'!H14+'HINO 2024'!H16</f>
        <v>1440</v>
      </c>
      <c r="K11" s="143"/>
      <c r="L11" s="22">
        <v>0</v>
      </c>
      <c r="M11" s="21">
        <v>0</v>
      </c>
      <c r="N11" s="39">
        <v>0</v>
      </c>
      <c r="O11" s="3">
        <v>0</v>
      </c>
      <c r="P11" s="71">
        <f t="shared" si="0"/>
        <v>5</v>
      </c>
      <c r="Q11" s="61">
        <f t="shared" si="1"/>
        <v>44889.909999999996</v>
      </c>
      <c r="R11" s="50">
        <f t="shared" si="2"/>
        <v>8977.982</v>
      </c>
      <c r="S11" s="50"/>
    </row>
    <row r="12" spans="2:19">
      <c r="B12" s="14" t="s">
        <v>12</v>
      </c>
      <c r="C12" s="18">
        <v>4</v>
      </c>
      <c r="D12" s="36">
        <f>'HINO 2024'!G17+'HINO 2024'!G18+'HINO 2024'!G19+'HINO 2024'!G21</f>
        <v>89981.07</v>
      </c>
      <c r="E12" s="34">
        <f>'HINO 2024'!H17+'HINO 2024'!H18+'HINO 2024'!H19+'HINO 2024'!H21</f>
        <v>17820</v>
      </c>
      <c r="F12" s="34">
        <v>11400</v>
      </c>
      <c r="G12" s="19">
        <v>0</v>
      </c>
      <c r="H12" s="23">
        <v>1</v>
      </c>
      <c r="I12" s="37">
        <f>'HINO 2024'!G20</f>
        <v>973.08</v>
      </c>
      <c r="J12" s="38">
        <f>'HINO 2024'!H20</f>
        <v>420</v>
      </c>
      <c r="K12" s="144"/>
      <c r="L12" s="24">
        <v>0</v>
      </c>
      <c r="M12" s="23">
        <v>0</v>
      </c>
      <c r="N12" s="34">
        <v>0</v>
      </c>
      <c r="O12" s="7">
        <v>0</v>
      </c>
      <c r="P12" s="71">
        <f t="shared" si="0"/>
        <v>5</v>
      </c>
      <c r="Q12" s="61">
        <f t="shared" si="1"/>
        <v>120594.15000000001</v>
      </c>
      <c r="R12" s="50">
        <f t="shared" si="2"/>
        <v>24118.83</v>
      </c>
      <c r="S12" s="50"/>
    </row>
    <row r="13" spans="2:19">
      <c r="B13" s="14" t="s">
        <v>13</v>
      </c>
      <c r="C13" s="18">
        <v>4</v>
      </c>
      <c r="D13" s="36">
        <f>'HINO 2024'!G30+'HINO 2024'!G31+'HINO 2024'!G34+'HINO 2024'!G37</f>
        <v>101460.05</v>
      </c>
      <c r="E13" s="34">
        <f>'HINO 2024'!H30+'HINO 2024'!H31+'HINO 2024'!H34+'HINO 2024'!H37</f>
        <v>24948</v>
      </c>
      <c r="F13" s="34">
        <v>237.5</v>
      </c>
      <c r="G13" s="19">
        <v>0</v>
      </c>
      <c r="H13" s="23">
        <v>0</v>
      </c>
      <c r="I13" s="37">
        <v>0</v>
      </c>
      <c r="J13" s="38">
        <v>0</v>
      </c>
      <c r="K13" s="144"/>
      <c r="L13" s="24">
        <v>0</v>
      </c>
      <c r="M13" s="23">
        <v>2</v>
      </c>
      <c r="N13" s="38">
        <v>3350</v>
      </c>
      <c r="O13" s="12"/>
      <c r="P13" s="71">
        <f t="shared" si="0"/>
        <v>6</v>
      </c>
      <c r="Q13" s="61">
        <f t="shared" si="1"/>
        <v>129995.55</v>
      </c>
      <c r="R13" s="50">
        <f t="shared" si="2"/>
        <v>21665.924999999999</v>
      </c>
      <c r="S13" s="50"/>
    </row>
    <row r="14" spans="2:19">
      <c r="B14" s="14" t="s">
        <v>14</v>
      </c>
      <c r="C14" s="18">
        <v>2</v>
      </c>
      <c r="D14" s="36">
        <f>'HINO 2024'!G38+'HINO 2024'!G39</f>
        <v>51943.8</v>
      </c>
      <c r="E14" s="34">
        <f>'HINO 2024'!H38+'HINO 2024'!H39</f>
        <v>11412</v>
      </c>
      <c r="F14" s="34">
        <v>11670</v>
      </c>
      <c r="G14" s="19">
        <v>0</v>
      </c>
      <c r="H14" s="23">
        <v>0</v>
      </c>
      <c r="I14" s="37">
        <v>0</v>
      </c>
      <c r="J14" s="38">
        <v>0</v>
      </c>
      <c r="K14" s="144"/>
      <c r="L14" s="24">
        <v>0</v>
      </c>
      <c r="M14" s="23">
        <v>0</v>
      </c>
      <c r="N14" s="38">
        <v>0</v>
      </c>
      <c r="O14" s="12">
        <v>0</v>
      </c>
      <c r="P14" s="71">
        <f t="shared" si="0"/>
        <v>2</v>
      </c>
      <c r="Q14" s="61">
        <f t="shared" si="1"/>
        <v>75025.8</v>
      </c>
      <c r="R14" s="50">
        <f t="shared" si="2"/>
        <v>37512.9</v>
      </c>
      <c r="S14" s="50"/>
    </row>
    <row r="15" spans="2:19">
      <c r="B15" s="14" t="s">
        <v>15</v>
      </c>
      <c r="C15" s="18">
        <v>4</v>
      </c>
      <c r="D15" s="36">
        <f>'HINO 2024'!G40+'HINO 2024'!G41+'HINO 2024'!G42+'HINO 2024'!G43</f>
        <v>67422.149999999994</v>
      </c>
      <c r="E15" s="34">
        <f>'HINO 2024'!H40+'HINO 2024'!H41+'HINO 2024'!H42+'HINO 2024'!H43</f>
        <v>17688</v>
      </c>
      <c r="F15" s="34">
        <v>4562</v>
      </c>
      <c r="G15" s="19">
        <v>0</v>
      </c>
      <c r="H15" s="23">
        <v>0</v>
      </c>
      <c r="I15" s="37">
        <v>0</v>
      </c>
      <c r="J15" s="38">
        <v>0</v>
      </c>
      <c r="K15" s="144"/>
      <c r="L15" s="24">
        <v>0</v>
      </c>
      <c r="M15" s="23">
        <v>0</v>
      </c>
      <c r="N15" s="38">
        <v>0</v>
      </c>
      <c r="O15" s="12">
        <v>0</v>
      </c>
      <c r="P15" s="71">
        <f t="shared" si="0"/>
        <v>4</v>
      </c>
      <c r="Q15" s="61">
        <f t="shared" si="1"/>
        <v>89672.15</v>
      </c>
      <c r="R15" s="50">
        <f t="shared" si="2"/>
        <v>22418.037499999999</v>
      </c>
      <c r="S15" s="50"/>
    </row>
    <row r="16" spans="2:19">
      <c r="B16" s="14" t="s">
        <v>16</v>
      </c>
      <c r="C16" s="18">
        <v>1</v>
      </c>
      <c r="D16" s="36">
        <f>'HINO 2024'!G45</f>
        <v>6402.5</v>
      </c>
      <c r="E16" s="34">
        <f>'HINO 2024'!H45</f>
        <v>4380</v>
      </c>
      <c r="F16" s="34">
        <v>3277.5</v>
      </c>
      <c r="G16" s="19">
        <v>0</v>
      </c>
      <c r="H16" s="23">
        <v>1</v>
      </c>
      <c r="I16" s="37">
        <f>'HINO 2024'!G44</f>
        <v>973.08</v>
      </c>
      <c r="J16" s="38">
        <f>'HINO 2024'!H44</f>
        <v>420</v>
      </c>
      <c r="K16" s="144"/>
      <c r="L16" s="24">
        <v>0</v>
      </c>
      <c r="M16" s="23">
        <v>0</v>
      </c>
      <c r="N16" s="38">
        <v>0</v>
      </c>
      <c r="O16" s="12">
        <v>0</v>
      </c>
      <c r="P16" s="71">
        <f t="shared" si="0"/>
        <v>2</v>
      </c>
      <c r="Q16" s="61">
        <f t="shared" si="1"/>
        <v>15453.08</v>
      </c>
      <c r="R16" s="50">
        <f t="shared" si="2"/>
        <v>7726.54</v>
      </c>
      <c r="S16" s="50"/>
    </row>
    <row r="17" spans="2:19">
      <c r="B17" s="14" t="s">
        <v>17</v>
      </c>
      <c r="C17" s="18">
        <v>2</v>
      </c>
      <c r="D17" s="36">
        <f>'HINO 2024'!G46+'HINO 2024'!G47</f>
        <v>82952.850000000006</v>
      </c>
      <c r="E17" s="34">
        <f>'HINO 2024'!H46+'HINO 2024'!H47</f>
        <v>10620</v>
      </c>
      <c r="F17" s="34">
        <v>8521.26</v>
      </c>
      <c r="G17" s="19">
        <v>0</v>
      </c>
      <c r="H17" s="23">
        <v>0</v>
      </c>
      <c r="I17" s="37">
        <v>0</v>
      </c>
      <c r="J17" s="38">
        <v>0</v>
      </c>
      <c r="K17" s="144"/>
      <c r="L17" s="20">
        <v>0</v>
      </c>
      <c r="M17" s="23">
        <v>0</v>
      </c>
      <c r="N17" s="38">
        <v>0</v>
      </c>
      <c r="O17" s="12">
        <v>0</v>
      </c>
      <c r="P17" s="71">
        <f t="shared" si="0"/>
        <v>2</v>
      </c>
      <c r="Q17" s="61">
        <f t="shared" si="1"/>
        <v>102094.11</v>
      </c>
      <c r="R17" s="50">
        <f t="shared" si="2"/>
        <v>51047.055</v>
      </c>
      <c r="S17" s="50"/>
    </row>
    <row r="18" spans="2:19" ht="15.75" thickBot="1">
      <c r="B18" s="15" t="s">
        <v>18</v>
      </c>
      <c r="C18" s="25">
        <v>1</v>
      </c>
      <c r="D18" s="76">
        <f>'HINO 2024'!G57</f>
        <v>1045.01</v>
      </c>
      <c r="E18" s="42">
        <f>'HINO 2024'!H57</f>
        <v>262.2</v>
      </c>
      <c r="F18" s="42">
        <v>2090</v>
      </c>
      <c r="G18" s="26">
        <v>0</v>
      </c>
      <c r="H18" s="27">
        <v>1</v>
      </c>
      <c r="I18" s="45">
        <f>'HINO 2024'!G56</f>
        <v>973.08</v>
      </c>
      <c r="J18" s="43">
        <f>'HINO 2024'!H56</f>
        <v>420</v>
      </c>
      <c r="K18" s="145"/>
      <c r="L18" s="28">
        <v>0</v>
      </c>
      <c r="M18" s="27">
        <v>0</v>
      </c>
      <c r="N18" s="44">
        <v>0</v>
      </c>
      <c r="O18" s="29">
        <v>0</v>
      </c>
      <c r="P18" s="72">
        <f t="shared" si="0"/>
        <v>2</v>
      </c>
      <c r="Q18" s="63">
        <f t="shared" si="1"/>
        <v>4790.29</v>
      </c>
      <c r="R18" s="50">
        <f t="shared" si="2"/>
        <v>2395.145</v>
      </c>
      <c r="S18" s="50"/>
    </row>
    <row r="19" spans="2:19" ht="15.75" thickBot="1">
      <c r="C19" s="41">
        <f t="shared" ref="C19:O19" si="3">SUM(C7:C18)</f>
        <v>25</v>
      </c>
      <c r="D19" s="4">
        <f t="shared" si="3"/>
        <v>559050.75</v>
      </c>
      <c r="E19" s="4">
        <f>SUM(E7:E18)</f>
        <v>126694.2</v>
      </c>
      <c r="F19" s="4">
        <f>SUM(F7:F18)</f>
        <v>54737.16</v>
      </c>
      <c r="G19" s="4">
        <f t="shared" si="3"/>
        <v>0</v>
      </c>
      <c r="H19" s="11">
        <f>SUM(H7:H18)</f>
        <v>11</v>
      </c>
      <c r="I19" s="4">
        <f>SUM(I7:I18)</f>
        <v>8154.11</v>
      </c>
      <c r="J19" s="4">
        <f>SUM(J7:J18)</f>
        <v>4800</v>
      </c>
      <c r="K19" s="4">
        <f t="shared" ref="K19:L19" si="4">SUM(K7:K18)</f>
        <v>0</v>
      </c>
      <c r="L19" s="4">
        <f t="shared" si="4"/>
        <v>0</v>
      </c>
      <c r="M19" s="11">
        <f>SUM(M7:M18)</f>
        <v>2</v>
      </c>
      <c r="N19" s="4">
        <f t="shared" si="3"/>
        <v>3350</v>
      </c>
      <c r="O19" s="4">
        <f t="shared" si="3"/>
        <v>0</v>
      </c>
      <c r="P19" s="69">
        <f>SUM(P7:P18)</f>
        <v>38</v>
      </c>
      <c r="Q19" s="70">
        <f>SUM(Q7:Q18)</f>
        <v>756786.22</v>
      </c>
      <c r="R19" s="50">
        <f>Q19/P19</f>
        <v>19915.426842105262</v>
      </c>
      <c r="S19" s="50"/>
    </row>
    <row r="20" spans="2:19" ht="15.75" thickTop="1">
      <c r="C20" s="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  <c r="Q20" s="5"/>
      <c r="R20" s="5"/>
      <c r="S20" s="5"/>
    </row>
    <row r="21" spans="2:19" ht="15.75" thickBot="1">
      <c r="C21" s="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6"/>
      <c r="Q21" s="5"/>
      <c r="R21" s="5"/>
      <c r="S21" s="5"/>
    </row>
    <row r="22" spans="2:19" ht="15.75" thickBot="1">
      <c r="C22" s="246" t="s">
        <v>30</v>
      </c>
      <c r="D22" s="247"/>
      <c r="E22" s="247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8"/>
      <c r="R22" s="48"/>
      <c r="S22" s="48"/>
    </row>
    <row r="23" spans="2:19" ht="15.75" thickBot="1">
      <c r="C23" s="249" t="s">
        <v>25</v>
      </c>
      <c r="D23" s="250"/>
      <c r="E23" s="250"/>
      <c r="F23" s="250"/>
      <c r="G23" s="251"/>
      <c r="H23" s="249" t="s">
        <v>27</v>
      </c>
      <c r="I23" s="250"/>
      <c r="J23" s="250"/>
      <c r="K23" s="250"/>
      <c r="L23" s="251"/>
      <c r="M23" s="246" t="s">
        <v>1</v>
      </c>
      <c r="N23" s="247"/>
      <c r="O23" s="247"/>
      <c r="P23" s="252" t="s">
        <v>29</v>
      </c>
      <c r="Q23" s="253"/>
    </row>
    <row r="24" spans="2:19" ht="15.75" thickBot="1">
      <c r="C24" s="30" t="s">
        <v>3</v>
      </c>
      <c r="D24" s="35" t="s">
        <v>48</v>
      </c>
      <c r="E24" s="33" t="s">
        <v>47</v>
      </c>
      <c r="F24" s="33" t="s">
        <v>726</v>
      </c>
      <c r="G24" s="32" t="s">
        <v>26</v>
      </c>
      <c r="H24" s="30" t="s">
        <v>28</v>
      </c>
      <c r="I24" s="35" t="s">
        <v>48</v>
      </c>
      <c r="J24" s="33" t="s">
        <v>47</v>
      </c>
      <c r="K24" s="142" t="s">
        <v>726</v>
      </c>
      <c r="L24" s="32" t="s">
        <v>26</v>
      </c>
      <c r="M24" s="30" t="s">
        <v>28</v>
      </c>
      <c r="N24" s="33" t="s">
        <v>4</v>
      </c>
      <c r="O24" s="31" t="s">
        <v>5</v>
      </c>
      <c r="P24" s="58" t="s">
        <v>28</v>
      </c>
      <c r="Q24" s="59" t="s">
        <v>29</v>
      </c>
      <c r="R24" s="16" t="s">
        <v>38</v>
      </c>
      <c r="S24" s="16"/>
    </row>
    <row r="25" spans="2:19">
      <c r="B25" s="13" t="s">
        <v>7</v>
      </c>
      <c r="C25" s="18">
        <v>7</v>
      </c>
      <c r="D25" s="36">
        <f>'MITS 2024'!G2+'MITS 2024'!G3+'MITS 2024'!G6+'MITS 2024'!G7+'MITS 2024'!G8+'MITS 2024'!G9+'MITS 2024'!G14</f>
        <v>93567.099999999991</v>
      </c>
      <c r="E25" s="36">
        <f>'MITS 2024'!H2+'MITS 2024'!H3+'MITS 2024'!H6+'MITS 2024'!H7+'MITS 2024'!H8+'MITS 2024'!H9+'MITS 2024'!H14</f>
        <v>30384</v>
      </c>
      <c r="F25" s="34"/>
      <c r="G25" s="19">
        <v>0</v>
      </c>
      <c r="H25" s="21">
        <v>5</v>
      </c>
      <c r="I25" s="36">
        <f>'MITS 2024'!G4+'MITS 2024'!G11+'MITS 2024'!G12+'MITS 2024'!G13+'MITS 2024'!G15</f>
        <v>9659.41</v>
      </c>
      <c r="J25" s="34">
        <f>'MITS 2024'!H4+'MITS 2024'!H11+'MITS 2024'!H12+'MITS 2024'!H13+'MITS 2024'!H15</f>
        <v>1248</v>
      </c>
      <c r="K25" s="143">
        <v>0</v>
      </c>
      <c r="L25" s="22">
        <v>0</v>
      </c>
      <c r="M25" s="21">
        <v>1</v>
      </c>
      <c r="N25" s="39">
        <v>1400</v>
      </c>
      <c r="O25" s="3">
        <v>0</v>
      </c>
      <c r="P25" s="60">
        <f>SUM(C25+H25+M25)</f>
        <v>13</v>
      </c>
      <c r="Q25" s="61">
        <f>SUM(D25+E25+F25+G25+I25+J25+K25+L25+N25+O25)</f>
        <v>136258.50999999998</v>
      </c>
      <c r="R25" s="50">
        <f>Q25/P25</f>
        <v>10481.423846153844</v>
      </c>
      <c r="S25" s="50"/>
    </row>
    <row r="26" spans="2:19">
      <c r="B26" s="14" t="s">
        <v>8</v>
      </c>
      <c r="C26" s="18">
        <v>2</v>
      </c>
      <c r="D26" s="36">
        <f>'MITS 2024'!G16+'MITS 2024'!G18</f>
        <v>52204.130000000005</v>
      </c>
      <c r="E26" s="36">
        <f>'MITS 2024'!H16+'MITS 2024'!H18</f>
        <v>7488</v>
      </c>
      <c r="F26" s="34"/>
      <c r="G26" s="19">
        <v>0</v>
      </c>
      <c r="H26" s="21">
        <v>1</v>
      </c>
      <c r="I26" s="36">
        <f>'MITS 2024'!G19</f>
        <v>2237.2199999999998</v>
      </c>
      <c r="J26" s="34">
        <f>'MITS 2024'!H19</f>
        <v>240</v>
      </c>
      <c r="K26" s="143">
        <v>0</v>
      </c>
      <c r="L26" s="22">
        <v>0</v>
      </c>
      <c r="M26" s="21">
        <v>1</v>
      </c>
      <c r="N26" s="34">
        <v>0</v>
      </c>
      <c r="O26" s="19">
        <v>10870.95</v>
      </c>
      <c r="P26" s="60">
        <f t="shared" ref="P26:P36" si="5">SUM(C26+H26+M26)</f>
        <v>4</v>
      </c>
      <c r="Q26" s="61">
        <f t="shared" ref="Q26:Q36" si="6">SUM(D26+E26+F26+G26+I26+J26+K26+L26+N26+O26)</f>
        <v>73040.3</v>
      </c>
      <c r="R26" s="50">
        <f t="shared" ref="R26:R37" si="7">Q26/P26</f>
        <v>18260.075000000001</v>
      </c>
      <c r="S26" s="50"/>
    </row>
    <row r="27" spans="2:19">
      <c r="B27" s="14" t="s">
        <v>9</v>
      </c>
      <c r="C27" s="18">
        <v>7</v>
      </c>
      <c r="D27" s="36">
        <f>'MITS 2024'!G22+'MITS 2024'!G24+'MITS 2024'!G26+'MITS 2024'!G28+'MITS 2024'!G29+'MITS 2024'!G30+'MITS 2024'!G31</f>
        <v>82354.950000000012</v>
      </c>
      <c r="E27" s="36">
        <f>'MITS 2024'!H22+'MITS 2024'!H24+'MITS 2024'!H26+'MITS 2024'!H28+'MITS 2024'!H29+'MITS 2024'!H30+'MITS 2024'!H31</f>
        <v>23040</v>
      </c>
      <c r="F27" s="34">
        <v>8699.6299999999992</v>
      </c>
      <c r="G27" s="19">
        <v>0</v>
      </c>
      <c r="H27" s="21">
        <v>4</v>
      </c>
      <c r="I27" s="36">
        <f>'MITS 2024'!G25+'MITS 2024'!G27+'MITS 2024'!G34</f>
        <v>6231.13</v>
      </c>
      <c r="J27" s="34">
        <f>'MITS 2024'!H25+'MITS 2024'!H27+'MITS 2024'!H34</f>
        <v>1266</v>
      </c>
      <c r="K27" s="143">
        <v>0</v>
      </c>
      <c r="L27" s="22">
        <v>2131.1</v>
      </c>
      <c r="M27" s="21">
        <v>2</v>
      </c>
      <c r="N27" s="34">
        <v>1344.1</v>
      </c>
      <c r="O27" s="7"/>
      <c r="P27" s="60">
        <f t="shared" si="5"/>
        <v>13</v>
      </c>
      <c r="Q27" s="61">
        <f t="shared" si="6"/>
        <v>125066.91000000003</v>
      </c>
      <c r="R27" s="50">
        <f t="shared" si="7"/>
        <v>9620.5315384615405</v>
      </c>
      <c r="S27" s="50"/>
    </row>
    <row r="28" spans="2:19">
      <c r="B28" s="14" t="s">
        <v>10</v>
      </c>
      <c r="C28" s="18">
        <v>7</v>
      </c>
      <c r="D28" s="36">
        <f>'MITS 2024'!G37+'MITS 2024'!G38+'MITS 2024'!G39+'MITS 2024'!G40+'MITS 2024'!G41+'MITS 2024'!G47+'MITS 2024'!G52</f>
        <v>82116.349999999991</v>
      </c>
      <c r="E28" s="36">
        <f>'MITS 2024'!H37+'MITS 2024'!H38+'MITS 2024'!H39+'MITS 2024'!H40+'MITS 2024'!H41+'MITS 2024'!H47+'MITS 2024'!H52</f>
        <v>22728</v>
      </c>
      <c r="F28" s="34">
        <v>10184.709999999999</v>
      </c>
      <c r="G28" s="19">
        <v>0</v>
      </c>
      <c r="H28" s="21">
        <v>6</v>
      </c>
      <c r="I28" s="36">
        <f>'MITS 2024'!G35+'MITS 2024'!G36+'MITS 2024'!G42+'MITS 2024'!G43+'MITS 2024'!G44+'MITS 2024'!G46</f>
        <v>11876.130000000001</v>
      </c>
      <c r="J28" s="34">
        <f>'MITS 2024'!H35+'MITS 2024'!H36+'MITS 2024'!H42+'MITS 2024'!H43+'MITS 2024'!H44+'MITS 2024'!H46</f>
        <v>1428</v>
      </c>
      <c r="K28" s="143">
        <v>0</v>
      </c>
      <c r="L28" s="22">
        <v>0</v>
      </c>
      <c r="M28" s="21">
        <v>4</v>
      </c>
      <c r="N28" s="34">
        <v>0</v>
      </c>
      <c r="O28" s="7">
        <v>1130</v>
      </c>
      <c r="P28" s="60">
        <f t="shared" si="5"/>
        <v>17</v>
      </c>
      <c r="Q28" s="61">
        <f t="shared" si="6"/>
        <v>129463.19</v>
      </c>
      <c r="R28" s="50">
        <f t="shared" si="7"/>
        <v>7615.4817647058826</v>
      </c>
      <c r="S28" s="50"/>
    </row>
    <row r="29" spans="2:19">
      <c r="B29" s="14" t="s">
        <v>11</v>
      </c>
      <c r="C29" s="18">
        <v>10</v>
      </c>
      <c r="D29" s="36">
        <f>'MITS 2024'!G53+'MITS 2024'!G54+'MITS 2024'!G55+'MITS 2024'!G56+'MITS 2024'!G61+'MITS 2024'!G63+'MITS 2024'!G64+'MITS 2024'!G65+'MITS 2024'!G66+'MITS 2024'!G69</f>
        <v>83909.6</v>
      </c>
      <c r="E29" s="36">
        <f>'MITS 2024'!H53+'MITS 2024'!H54+'MITS 2024'!H55+'MITS 2024'!H56+'MITS 2024'!H61+'MITS 2024'!H63+'MITS 2024'!H64+'MITS 2024'!H65+'MITS 2024'!H66+'MITS 2024'!H69</f>
        <v>26700</v>
      </c>
      <c r="F29" s="34">
        <v>712.5</v>
      </c>
      <c r="G29" s="19">
        <v>0</v>
      </c>
      <c r="H29" s="21">
        <v>3</v>
      </c>
      <c r="I29" s="36">
        <f>'MITS 2024'!G67+'MITS 2024'!G68+'MITS 2024'!G70</f>
        <v>4617.8899999999994</v>
      </c>
      <c r="J29" s="34">
        <f>'MITS 2024'!H67+'MITS 2024'!H68+'MITS 2024'!H70</f>
        <v>720</v>
      </c>
      <c r="K29" s="143">
        <v>0</v>
      </c>
      <c r="L29" s="22">
        <v>0</v>
      </c>
      <c r="M29" s="21">
        <v>6</v>
      </c>
      <c r="N29" s="34">
        <v>0</v>
      </c>
      <c r="O29" s="7">
        <v>2705.85</v>
      </c>
      <c r="P29" s="60">
        <f t="shared" si="5"/>
        <v>19</v>
      </c>
      <c r="Q29" s="61">
        <f t="shared" si="6"/>
        <v>119365.84000000001</v>
      </c>
      <c r="R29" s="50">
        <f t="shared" si="7"/>
        <v>6282.4126315789481</v>
      </c>
      <c r="S29" s="50"/>
    </row>
    <row r="30" spans="2:19">
      <c r="B30" s="14" t="s">
        <v>12</v>
      </c>
      <c r="C30" s="18">
        <v>5</v>
      </c>
      <c r="D30" s="36">
        <f>'MITS 2024'!G72+'MITS 2024'!G73+'MITS 2024'!G74+'MITS 2024'!G81+'MITS 2024'!G82</f>
        <v>66073.510000000009</v>
      </c>
      <c r="E30" s="36">
        <f>'MITS 2024'!H72+'MITS 2024'!H73+'MITS 2024'!H74+'MITS 2024'!H81+'MITS 2024'!H82</f>
        <v>18072</v>
      </c>
      <c r="F30" s="34">
        <v>0</v>
      </c>
      <c r="G30" s="19">
        <v>1528.86</v>
      </c>
      <c r="H30" s="23">
        <v>5</v>
      </c>
      <c r="I30" s="37">
        <f>'MITS 2024'!G75+'MITS 2024'!G76+'MITS 2024'!G77+'MITS 2024'!G78+'MITS 2024'!G79</f>
        <v>8742.65</v>
      </c>
      <c r="J30" s="38">
        <f>'MITS 2024'!H75+'MITS 2024'!H76+'MITS 2024'!H77+'MITS 2024'!H78+'MITS 2024'!H79</f>
        <v>1164</v>
      </c>
      <c r="K30" s="144">
        <v>0</v>
      </c>
      <c r="L30" s="22">
        <v>0</v>
      </c>
      <c r="M30" s="23">
        <v>0</v>
      </c>
      <c r="N30" s="38">
        <v>0</v>
      </c>
      <c r="O30" s="12">
        <v>0</v>
      </c>
      <c r="P30" s="60">
        <f t="shared" si="5"/>
        <v>10</v>
      </c>
      <c r="Q30" s="61">
        <f t="shared" si="6"/>
        <v>95581.02</v>
      </c>
      <c r="R30" s="50">
        <f t="shared" si="7"/>
        <v>9558.1020000000008</v>
      </c>
      <c r="S30" s="50"/>
    </row>
    <row r="31" spans="2:19">
      <c r="B31" s="14" t="s">
        <v>13</v>
      </c>
      <c r="C31" s="18">
        <v>9</v>
      </c>
      <c r="D31" s="36">
        <f>'MITS 2024'!G83+'MITS 2024'!G84+'MITS 2024'!G85+'MITS 2024'!G86+'MITS 2024'!G87+'MITS 2024'!G89+'MITS 2024'!G91+'MITS 2024'!G93+'MITS 2024'!G95</f>
        <v>162237.65</v>
      </c>
      <c r="E31" s="36">
        <f>'MITS 2024'!H83+'MITS 2024'!H84+'MITS 2024'!H85+'MITS 2024'!H86+'MITS 2024'!H87+'MITS 2024'!H89+'MITS 2024'!H91+'MITS 2024'!H93+'MITS 2024'!H95</f>
        <v>41439</v>
      </c>
      <c r="F31" s="34">
        <v>6368.37</v>
      </c>
      <c r="G31" s="19">
        <v>0</v>
      </c>
      <c r="H31" s="23">
        <v>5</v>
      </c>
      <c r="I31" s="37">
        <f>'MITS 2024'!G88+'MITS 2024'!G90+'MITS 2024'!G92+'MITS 2024'!G94+'MITS 2024'!G96</f>
        <v>6771.83</v>
      </c>
      <c r="J31" s="38">
        <f>'MITS 2024'!H88+'MITS 2024'!H90+'MITS 2024'!H92+'MITS 2024'!H94+'MITS 2024'!H96</f>
        <v>912</v>
      </c>
      <c r="K31" s="144">
        <v>0</v>
      </c>
      <c r="L31" s="22">
        <v>0</v>
      </c>
      <c r="M31" s="23">
        <v>0</v>
      </c>
      <c r="N31" s="38">
        <v>0</v>
      </c>
      <c r="O31" s="12">
        <v>0</v>
      </c>
      <c r="P31" s="60">
        <f t="shared" si="5"/>
        <v>14</v>
      </c>
      <c r="Q31" s="61">
        <f t="shared" si="6"/>
        <v>217728.84999999998</v>
      </c>
      <c r="R31" s="50">
        <f t="shared" si="7"/>
        <v>15552.060714285713</v>
      </c>
      <c r="S31" s="50"/>
    </row>
    <row r="32" spans="2:19">
      <c r="B32" s="14" t="s">
        <v>14</v>
      </c>
      <c r="C32" s="18">
        <v>10</v>
      </c>
      <c r="D32" s="36">
        <f>'MITS 2024'!G100+'MITS 2024'!G101+'MITS 2024'!G102+'MITS 2024'!G103+'MITS 2024'!G106+'MITS 2024'!G107+'MITS 2024'!G108+'MITS 2024'!G111+'MITS 2024'!G112+'MITS 2024'!G113</f>
        <v>72365.72</v>
      </c>
      <c r="E32" s="36">
        <f>'MITS 2024'!H100+'MITS 2024'!H101+'MITS 2024'!H102+'MITS 2024'!H103+'MITS 2024'!H106+'MITS 2024'!H107+'MITS 2024'!H108+'MITS 2024'!H111+'MITS 2024'!H112+'MITS 2024'!H113</f>
        <v>33528</v>
      </c>
      <c r="F32" s="34">
        <v>5076.2700000000004</v>
      </c>
      <c r="G32" s="19">
        <v>0</v>
      </c>
      <c r="H32" s="23">
        <v>3</v>
      </c>
      <c r="I32" s="37">
        <f>'MITS 2024'!G104+'MITS 2024'!G109+'MITS 2024'!G110</f>
        <v>7186.7800000000007</v>
      </c>
      <c r="J32" s="38">
        <f>'MITS 2024'!H104+'MITS 2024'!H109+'MITS 2024'!H110</f>
        <v>792</v>
      </c>
      <c r="K32" s="144">
        <v>0</v>
      </c>
      <c r="L32" s="22">
        <v>0</v>
      </c>
      <c r="M32" s="23">
        <v>4</v>
      </c>
      <c r="N32" s="38">
        <v>300</v>
      </c>
      <c r="O32" s="12">
        <v>6811.39</v>
      </c>
      <c r="P32" s="60">
        <f t="shared" si="5"/>
        <v>17</v>
      </c>
      <c r="Q32" s="61">
        <f t="shared" si="6"/>
        <v>126060.16</v>
      </c>
      <c r="R32" s="50">
        <f t="shared" si="7"/>
        <v>7415.3035294117653</v>
      </c>
      <c r="S32" s="50"/>
    </row>
    <row r="33" spans="2:19">
      <c r="B33" s="14" t="s">
        <v>15</v>
      </c>
      <c r="C33" s="18">
        <v>5</v>
      </c>
      <c r="D33" s="36">
        <f>'MITS 2024'!G114+'MITS 2024'!G119+'MITS 2024'!G121+'MITS 2024'!G122+'MITS 2024'!G123</f>
        <v>56523.05</v>
      </c>
      <c r="E33" s="36">
        <f>'MITS 2024'!H114+'MITS 2024'!H119+'MITS 2024'!H121+'MITS 2024'!H122+'MITS 2024'!H123</f>
        <v>24036</v>
      </c>
      <c r="F33" s="34">
        <v>0</v>
      </c>
      <c r="G33" s="19">
        <v>0</v>
      </c>
      <c r="H33" s="23">
        <v>5</v>
      </c>
      <c r="I33" s="37">
        <f>'MITS 2024'!G118+'MITS 2024'!G120+'MITS 2024'!G125+'MITS 2024'!G126+'MITS 2024'!G127</f>
        <v>10975.58</v>
      </c>
      <c r="J33" s="38">
        <f>'MITS 2024'!H118+'MITS 2024'!H120+'MITS 2024'!H125+'MITS 2024'!H126+'MITS 2024'!H127</f>
        <v>1320</v>
      </c>
      <c r="K33" s="144">
        <v>0</v>
      </c>
      <c r="L33" s="22">
        <v>0</v>
      </c>
      <c r="M33" s="23">
        <v>4</v>
      </c>
      <c r="N33" s="38">
        <v>2102.1</v>
      </c>
      <c r="O33" s="12">
        <v>930</v>
      </c>
      <c r="P33" s="60">
        <f t="shared" si="5"/>
        <v>14</v>
      </c>
      <c r="Q33" s="61">
        <f t="shared" si="6"/>
        <v>95886.73000000001</v>
      </c>
      <c r="R33" s="50">
        <f t="shared" si="7"/>
        <v>6849.0521428571437</v>
      </c>
      <c r="S33" s="50"/>
    </row>
    <row r="34" spans="2:19">
      <c r="B34" s="14" t="s">
        <v>16</v>
      </c>
      <c r="C34" s="18">
        <v>8</v>
      </c>
      <c r="D34" s="36">
        <f>'MITS 2024'!G128+'MITS 2024'!G129+'MITS 2024'!G131+'MITS 2024'!G133+'MITS 2024'!G134+'MITS 2024'!G136+'MITS 2024'!G137+'MITS 2024'!G138</f>
        <v>166938.41</v>
      </c>
      <c r="E34" s="36">
        <f>'MITS 2024'!H128+'MITS 2024'!H129+'MITS 2024'!H131+'MITS 2024'!H133+'MITS 2024'!H134+'MITS 2024'!H136+'MITS 2024'!H137+'MITS 2024'!H138</f>
        <v>28158</v>
      </c>
      <c r="F34" s="34">
        <v>2907</v>
      </c>
      <c r="G34" s="19">
        <v>0</v>
      </c>
      <c r="H34" s="23">
        <v>7</v>
      </c>
      <c r="I34" s="37">
        <f>'MITS 2024'!G130+'MITS 2024'!G135+'MITS 2024'!G139+'MITS 2024'!G140+'MITS 2024'!G141+'MITS 2024'!G142+'MITS 2024'!G145</f>
        <v>14217.340000000002</v>
      </c>
      <c r="J34" s="38">
        <f>'MITS 2024'!H130+'MITS 2024'!H135+'MITS 2024'!H139+'MITS 2024'!H140+'MITS 2024'!H141+'MITS 2024'!H142+'MITS 2024'!H145</f>
        <v>1860</v>
      </c>
      <c r="K34" s="144">
        <v>0</v>
      </c>
      <c r="L34" s="22">
        <v>0</v>
      </c>
      <c r="M34" s="23">
        <v>3</v>
      </c>
      <c r="N34" s="38">
        <v>7884.81</v>
      </c>
      <c r="O34" s="12">
        <v>1961</v>
      </c>
      <c r="P34" s="60">
        <f t="shared" si="5"/>
        <v>18</v>
      </c>
      <c r="Q34" s="61">
        <f t="shared" si="6"/>
        <v>223926.56</v>
      </c>
      <c r="R34" s="50">
        <f t="shared" si="7"/>
        <v>12440.364444444444</v>
      </c>
      <c r="S34" s="50"/>
    </row>
    <row r="35" spans="2:19">
      <c r="B35" s="14" t="s">
        <v>17</v>
      </c>
      <c r="C35" s="18">
        <v>9</v>
      </c>
      <c r="D35" s="36">
        <f>'MITS 2024'!G146+'MITS 2024'!G147+'MITS 2024'!G148+'MITS 2024'!G149+'MITS 2024'!G150+'MITS 2024'!G151+'MITS 2024'!G156+'MITS 2024'!G157+'MITS 2024'!G158</f>
        <v>68433.450000000012</v>
      </c>
      <c r="E35" s="36">
        <f>'MITS 2024'!H146+'MITS 2024'!H147+'MITS 2024'!H148+'MITS 2024'!H149+'MITS 2024'!H150+'MITS 2024'!H151+'MITS 2024'!H156+'MITS 2024'!H157+'MITS 2024'!H158</f>
        <v>17389</v>
      </c>
      <c r="F35" s="34">
        <v>4421.28</v>
      </c>
      <c r="G35" s="19">
        <v>0</v>
      </c>
      <c r="H35" s="23">
        <v>4</v>
      </c>
      <c r="I35" s="37">
        <f>'MITS 2024'!G152+'MITS 2024'!G153+'MITS 2024'!G154+'MITS 2024'!G155</f>
        <v>8353.5400000000009</v>
      </c>
      <c r="J35" s="38">
        <f>'MITS 2024'!H152+'MITS 2024'!H153+'MITS 2024'!H154+'MITS 2024'!H155</f>
        <v>1032</v>
      </c>
      <c r="K35" s="144">
        <v>0</v>
      </c>
      <c r="L35" s="22">
        <v>0</v>
      </c>
      <c r="M35" s="23">
        <v>0</v>
      </c>
      <c r="N35" s="38">
        <v>0</v>
      </c>
      <c r="O35" s="12">
        <v>0</v>
      </c>
      <c r="P35" s="60">
        <f t="shared" si="5"/>
        <v>13</v>
      </c>
      <c r="Q35" s="61">
        <f t="shared" si="6"/>
        <v>99629.270000000019</v>
      </c>
      <c r="R35" s="50">
        <f t="shared" si="7"/>
        <v>7663.7900000000018</v>
      </c>
      <c r="S35" s="50"/>
    </row>
    <row r="36" spans="2:19" ht="15.75" thickBot="1">
      <c r="B36" s="15" t="s">
        <v>18</v>
      </c>
      <c r="C36" s="25">
        <v>2</v>
      </c>
      <c r="D36" s="76">
        <f>'MITS 2024'!G159+'MITS 2024'!G160</f>
        <v>59314.97</v>
      </c>
      <c r="E36" s="76">
        <f>'MITS 2024'!H159+'MITS 2024'!H160</f>
        <v>7476</v>
      </c>
      <c r="F36" s="42">
        <v>1320.5</v>
      </c>
      <c r="G36" s="26">
        <v>0</v>
      </c>
      <c r="H36" s="27">
        <v>7</v>
      </c>
      <c r="I36" s="45">
        <f>'MITS 2024'!G161+'MITS 2024'!G162+'MITS 2024'!G163+'MITS 2024'!G164+'MITS 2024'!G165+'MITS 2024'!G166+'MITS 2024'!G167</f>
        <v>11923.41</v>
      </c>
      <c r="J36" s="43">
        <f>'MITS 2024'!H161+'MITS 2024'!H162+'MITS 2024'!H163+'MITS 2024'!H164+'MITS 2024'!H165+'MITS 2024'!H166+'MITS 2024'!H167</f>
        <v>1776</v>
      </c>
      <c r="K36" s="145">
        <v>951.48</v>
      </c>
      <c r="L36" s="28">
        <v>0</v>
      </c>
      <c r="M36" s="27">
        <v>0</v>
      </c>
      <c r="N36" s="44">
        <v>0</v>
      </c>
      <c r="O36" s="29">
        <v>0</v>
      </c>
      <c r="P36" s="62">
        <f t="shared" si="5"/>
        <v>9</v>
      </c>
      <c r="Q36" s="63">
        <f t="shared" si="6"/>
        <v>82762.36</v>
      </c>
      <c r="R36" s="50">
        <f t="shared" si="7"/>
        <v>9195.8177777777782</v>
      </c>
      <c r="S36" s="50"/>
    </row>
    <row r="37" spans="2:19" ht="15.75" thickBot="1">
      <c r="C37" s="41">
        <f t="shared" ref="C37:O37" si="8">SUM(C25:C36)</f>
        <v>81</v>
      </c>
      <c r="D37" s="4">
        <f t="shared" si="8"/>
        <v>1046038.8900000001</v>
      </c>
      <c r="E37" s="4">
        <f t="shared" si="8"/>
        <v>280438</v>
      </c>
      <c r="F37" s="4">
        <f t="shared" si="8"/>
        <v>39690.259999999995</v>
      </c>
      <c r="G37" s="4">
        <f t="shared" si="8"/>
        <v>1528.86</v>
      </c>
      <c r="H37" s="11">
        <f>SUM(H25:H36)</f>
        <v>55</v>
      </c>
      <c r="I37" s="4">
        <f t="shared" si="8"/>
        <v>102792.91</v>
      </c>
      <c r="J37" s="4">
        <f t="shared" si="8"/>
        <v>13758</v>
      </c>
      <c r="K37" s="4">
        <f t="shared" si="8"/>
        <v>951.48</v>
      </c>
      <c r="L37" s="4">
        <f t="shared" si="8"/>
        <v>2131.1</v>
      </c>
      <c r="M37" s="11">
        <f>SUM(M25:M36)</f>
        <v>25</v>
      </c>
      <c r="N37" s="4">
        <f t="shared" si="8"/>
        <v>13031.01</v>
      </c>
      <c r="O37" s="4">
        <f t="shared" si="8"/>
        <v>24409.190000000002</v>
      </c>
      <c r="P37" s="64">
        <f>SUM(P25:P36)</f>
        <v>161</v>
      </c>
      <c r="Q37" s="65">
        <f>SUM(Q25:Q36)</f>
        <v>1524769.7000000002</v>
      </c>
      <c r="R37" s="50">
        <f t="shared" si="7"/>
        <v>9470.6192546583861</v>
      </c>
      <c r="S37" s="50"/>
    </row>
    <row r="38" spans="2:19" ht="15.75" thickTop="1">
      <c r="C38" s="52"/>
      <c r="D38" s="8"/>
      <c r="E38" s="8"/>
      <c r="F38" s="8"/>
      <c r="G38" s="8"/>
      <c r="H38" s="53"/>
      <c r="I38" s="8"/>
      <c r="J38" s="8"/>
      <c r="K38" s="8"/>
      <c r="L38" s="8"/>
      <c r="M38" s="53"/>
      <c r="N38" s="8"/>
      <c r="O38" s="8"/>
      <c r="P38" s="52"/>
      <c r="Q38" s="8"/>
      <c r="R38" s="50"/>
      <c r="S38" s="50"/>
    </row>
    <row r="39" spans="2:19" ht="15.75" thickBot="1">
      <c r="C39" s="52"/>
      <c r="D39" s="8"/>
      <c r="E39" s="8"/>
      <c r="F39" s="8"/>
      <c r="G39" s="8"/>
      <c r="H39" s="53"/>
      <c r="I39" s="8"/>
      <c r="J39" s="8"/>
      <c r="K39" s="8"/>
      <c r="L39" s="8"/>
      <c r="M39" s="53"/>
      <c r="N39" s="8"/>
      <c r="O39" s="8"/>
      <c r="P39" s="52"/>
      <c r="Q39" s="8"/>
      <c r="R39" s="50"/>
      <c r="S39" s="50"/>
    </row>
    <row r="40" spans="2:19" ht="15.75" thickBot="1">
      <c r="C40" s="246" t="s">
        <v>33</v>
      </c>
      <c r="D40" s="247"/>
      <c r="E40" s="247"/>
      <c r="F40" s="247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8"/>
      <c r="S40" s="50"/>
    </row>
    <row r="41" spans="2:19" ht="15.75" customHeight="1" thickBot="1">
      <c r="C41" s="249" t="s">
        <v>34</v>
      </c>
      <c r="D41" s="250"/>
      <c r="E41" s="250"/>
      <c r="F41" s="250"/>
      <c r="G41" s="250"/>
      <c r="H41" s="250"/>
      <c r="I41" s="250"/>
      <c r="J41" s="250"/>
      <c r="K41" s="250"/>
      <c r="L41" s="251"/>
      <c r="M41" s="257" t="s">
        <v>35</v>
      </c>
      <c r="N41" s="258"/>
      <c r="O41" s="259"/>
      <c r="P41" s="252" t="s">
        <v>29</v>
      </c>
      <c r="Q41" s="253"/>
      <c r="S41" s="50"/>
    </row>
    <row r="42" spans="2:19" ht="15.75" thickBot="1">
      <c r="C42" s="30" t="s">
        <v>3</v>
      </c>
      <c r="D42" s="33" t="s">
        <v>6</v>
      </c>
      <c r="E42" s="33"/>
      <c r="F42" s="31"/>
      <c r="G42" s="30" t="s">
        <v>3</v>
      </c>
      <c r="H42" s="33" t="s">
        <v>2</v>
      </c>
      <c r="I42" s="40" t="s">
        <v>3</v>
      </c>
      <c r="J42" s="33"/>
      <c r="K42" s="33"/>
      <c r="L42" s="32" t="s">
        <v>26</v>
      </c>
      <c r="M42" s="30" t="s">
        <v>28</v>
      </c>
      <c r="N42" s="35" t="s">
        <v>44</v>
      </c>
      <c r="O42" s="55" t="s">
        <v>26</v>
      </c>
      <c r="P42" s="66" t="s">
        <v>28</v>
      </c>
      <c r="Q42" s="59" t="s">
        <v>29</v>
      </c>
      <c r="R42" s="16" t="s">
        <v>38</v>
      </c>
      <c r="S42" s="50"/>
    </row>
    <row r="43" spans="2:19">
      <c r="B43" s="13" t="s">
        <v>7</v>
      </c>
      <c r="C43" s="18">
        <v>1</v>
      </c>
      <c r="D43" s="34">
        <v>348.21</v>
      </c>
      <c r="E43" s="34"/>
      <c r="F43" s="7"/>
      <c r="G43" s="18">
        <v>0</v>
      </c>
      <c r="H43" s="34">
        <v>0</v>
      </c>
      <c r="I43" s="46">
        <v>2</v>
      </c>
      <c r="J43" s="34"/>
      <c r="K43" s="34"/>
      <c r="L43" s="19">
        <v>1448.67</v>
      </c>
      <c r="M43" s="21">
        <v>0</v>
      </c>
      <c r="N43" s="36">
        <v>0</v>
      </c>
      <c r="O43" s="73">
        <v>0</v>
      </c>
      <c r="P43" s="67">
        <f t="shared" ref="P43:P54" si="9">SUM(C43+G43+I43+M43)</f>
        <v>3</v>
      </c>
      <c r="Q43" s="61">
        <f t="shared" ref="Q43:Q54" si="10">SUM(D43+H43+L43+N43)</f>
        <v>1796.88</v>
      </c>
      <c r="R43" s="50">
        <f t="shared" ref="R43:R55" si="11">Q43/P43</f>
        <v>598.96</v>
      </c>
      <c r="S43" s="50"/>
    </row>
    <row r="44" spans="2:19">
      <c r="B44" s="14" t="s">
        <v>8</v>
      </c>
      <c r="C44" s="18">
        <v>0</v>
      </c>
      <c r="D44" s="34">
        <v>0</v>
      </c>
      <c r="E44" s="34"/>
      <c r="F44" s="7"/>
      <c r="G44" s="18">
        <v>0</v>
      </c>
      <c r="H44" s="34">
        <v>0</v>
      </c>
      <c r="I44" s="46">
        <v>0</v>
      </c>
      <c r="J44" s="34"/>
      <c r="K44" s="34"/>
      <c r="L44" s="19">
        <v>0</v>
      </c>
      <c r="M44" s="21">
        <v>0</v>
      </c>
      <c r="N44" s="36">
        <v>0</v>
      </c>
      <c r="O44" s="73">
        <v>0</v>
      </c>
      <c r="P44" s="67">
        <f t="shared" si="9"/>
        <v>0</v>
      </c>
      <c r="Q44" s="61">
        <f t="shared" si="10"/>
        <v>0</v>
      </c>
      <c r="R44" s="50" t="e">
        <f t="shared" si="11"/>
        <v>#DIV/0!</v>
      </c>
      <c r="S44" s="50"/>
    </row>
    <row r="45" spans="2:19">
      <c r="B45" s="14" t="s">
        <v>9</v>
      </c>
      <c r="C45" s="18">
        <v>3</v>
      </c>
      <c r="D45" s="34">
        <v>1426.8</v>
      </c>
      <c r="E45" s="34"/>
      <c r="F45" s="7"/>
      <c r="G45" s="18">
        <v>1</v>
      </c>
      <c r="H45" s="34">
        <v>205.68</v>
      </c>
      <c r="I45" s="46">
        <v>1</v>
      </c>
      <c r="J45" s="34"/>
      <c r="K45" s="34"/>
      <c r="L45" s="19">
        <v>1091</v>
      </c>
      <c r="M45" s="21">
        <v>0</v>
      </c>
      <c r="N45" s="36">
        <v>0</v>
      </c>
      <c r="O45" s="73">
        <v>0</v>
      </c>
      <c r="P45" s="67">
        <f t="shared" si="9"/>
        <v>5</v>
      </c>
      <c r="Q45" s="61">
        <f t="shared" si="10"/>
        <v>2723.48</v>
      </c>
      <c r="R45" s="50">
        <f t="shared" si="11"/>
        <v>544.69600000000003</v>
      </c>
      <c r="S45" s="50"/>
    </row>
    <row r="46" spans="2:19">
      <c r="B46" s="14" t="s">
        <v>10</v>
      </c>
      <c r="C46" s="18">
        <v>2</v>
      </c>
      <c r="D46" s="34">
        <v>1267.4100000000001</v>
      </c>
      <c r="E46" s="34"/>
      <c r="F46" s="7"/>
      <c r="G46" s="18">
        <v>1</v>
      </c>
      <c r="H46" s="34">
        <v>3317.57</v>
      </c>
      <c r="I46" s="46">
        <v>1</v>
      </c>
      <c r="J46" s="34"/>
      <c r="K46" s="34"/>
      <c r="L46" s="19">
        <v>988.3</v>
      </c>
      <c r="M46" s="21">
        <v>0</v>
      </c>
      <c r="N46" s="36">
        <v>0</v>
      </c>
      <c r="O46" s="73">
        <v>0</v>
      </c>
      <c r="P46" s="67">
        <f t="shared" si="9"/>
        <v>4</v>
      </c>
      <c r="Q46" s="61">
        <f t="shared" si="10"/>
        <v>5573.2800000000007</v>
      </c>
      <c r="R46" s="50">
        <f t="shared" si="11"/>
        <v>1393.3200000000002</v>
      </c>
      <c r="S46" s="50"/>
    </row>
    <row r="47" spans="2:19">
      <c r="B47" s="14" t="s">
        <v>11</v>
      </c>
      <c r="C47" s="18">
        <v>1</v>
      </c>
      <c r="D47" s="34">
        <v>351.81</v>
      </c>
      <c r="E47" s="34"/>
      <c r="F47" s="7"/>
      <c r="G47" s="18">
        <v>1</v>
      </c>
      <c r="H47" s="34">
        <v>369.36</v>
      </c>
      <c r="I47" s="46">
        <v>0</v>
      </c>
      <c r="J47" s="34"/>
      <c r="K47" s="34"/>
      <c r="L47" s="19">
        <v>0</v>
      </c>
      <c r="M47" s="21">
        <v>0</v>
      </c>
      <c r="N47" s="36">
        <v>0</v>
      </c>
      <c r="O47" s="73">
        <v>0</v>
      </c>
      <c r="P47" s="67">
        <f t="shared" si="9"/>
        <v>2</v>
      </c>
      <c r="Q47" s="61">
        <f t="shared" si="10"/>
        <v>721.17000000000007</v>
      </c>
      <c r="R47" s="50">
        <f t="shared" si="11"/>
        <v>360.58500000000004</v>
      </c>
      <c r="S47" s="50"/>
    </row>
    <row r="48" spans="2:19">
      <c r="B48" s="14" t="s">
        <v>12</v>
      </c>
      <c r="C48" s="18">
        <v>4</v>
      </c>
      <c r="D48" s="34">
        <v>1767.81</v>
      </c>
      <c r="E48" s="34"/>
      <c r="F48" s="7"/>
      <c r="G48" s="18">
        <v>0</v>
      </c>
      <c r="H48" s="34">
        <v>0</v>
      </c>
      <c r="I48" s="46">
        <v>1</v>
      </c>
      <c r="J48" s="34"/>
      <c r="K48" s="34"/>
      <c r="L48" s="20">
        <v>615</v>
      </c>
      <c r="M48" s="132">
        <v>8</v>
      </c>
      <c r="N48" s="133">
        <v>2748.2</v>
      </c>
      <c r="O48" s="73">
        <v>0</v>
      </c>
      <c r="P48" s="67">
        <f t="shared" si="9"/>
        <v>13</v>
      </c>
      <c r="Q48" s="61">
        <f t="shared" si="10"/>
        <v>5131.01</v>
      </c>
      <c r="R48" s="50">
        <f t="shared" si="11"/>
        <v>394.69307692307694</v>
      </c>
      <c r="S48" s="50"/>
    </row>
    <row r="49" spans="2:19">
      <c r="B49" s="14" t="s">
        <v>13</v>
      </c>
      <c r="C49" s="18">
        <v>2</v>
      </c>
      <c r="D49" s="34">
        <v>1040.3900000000001</v>
      </c>
      <c r="E49" s="34"/>
      <c r="F49" s="7"/>
      <c r="G49" s="18">
        <v>0</v>
      </c>
      <c r="H49" s="34">
        <v>0</v>
      </c>
      <c r="I49" s="46">
        <v>0</v>
      </c>
      <c r="J49" s="34"/>
      <c r="K49" s="34"/>
      <c r="L49" s="20"/>
      <c r="M49" s="21">
        <v>2</v>
      </c>
      <c r="N49" s="36">
        <v>2688.4</v>
      </c>
      <c r="O49" s="73">
        <v>0</v>
      </c>
      <c r="P49" s="67">
        <f t="shared" si="9"/>
        <v>4</v>
      </c>
      <c r="Q49" s="61">
        <f t="shared" si="10"/>
        <v>3728.79</v>
      </c>
      <c r="R49" s="50">
        <f t="shared" si="11"/>
        <v>932.19749999999999</v>
      </c>
      <c r="S49" s="50"/>
    </row>
    <row r="50" spans="2:19">
      <c r="B50" s="14" t="s">
        <v>14</v>
      </c>
      <c r="C50" s="18">
        <v>0</v>
      </c>
      <c r="D50" s="34">
        <v>0</v>
      </c>
      <c r="E50" s="34"/>
      <c r="F50" s="7"/>
      <c r="G50" s="18">
        <v>0</v>
      </c>
      <c r="H50" s="34">
        <v>0</v>
      </c>
      <c r="I50" s="46">
        <v>0</v>
      </c>
      <c r="J50" s="34"/>
      <c r="K50" s="34"/>
      <c r="L50" s="20"/>
      <c r="M50" s="21">
        <v>0</v>
      </c>
      <c r="N50" s="36">
        <v>0</v>
      </c>
      <c r="O50" s="73">
        <v>0</v>
      </c>
      <c r="P50" s="67">
        <f t="shared" si="9"/>
        <v>0</v>
      </c>
      <c r="Q50" s="61">
        <f t="shared" si="10"/>
        <v>0</v>
      </c>
      <c r="R50" s="50" t="e">
        <f t="shared" si="11"/>
        <v>#DIV/0!</v>
      </c>
      <c r="S50" s="50"/>
    </row>
    <row r="51" spans="2:19">
      <c r="B51" s="14" t="s">
        <v>15</v>
      </c>
      <c r="C51" s="18">
        <v>3</v>
      </c>
      <c r="D51" s="34">
        <v>1516.4</v>
      </c>
      <c r="E51" s="34"/>
      <c r="F51" s="7"/>
      <c r="G51" s="18">
        <v>0</v>
      </c>
      <c r="H51" s="34">
        <v>0</v>
      </c>
      <c r="I51" s="46">
        <v>1</v>
      </c>
      <c r="J51" s="34"/>
      <c r="K51" s="34"/>
      <c r="L51" s="20">
        <v>1707.55</v>
      </c>
      <c r="M51" s="21">
        <v>0</v>
      </c>
      <c r="N51" s="36">
        <v>0</v>
      </c>
      <c r="O51" s="73">
        <v>0</v>
      </c>
      <c r="P51" s="67">
        <f t="shared" si="9"/>
        <v>4</v>
      </c>
      <c r="Q51" s="61">
        <f t="shared" si="10"/>
        <v>3223.95</v>
      </c>
      <c r="R51" s="50">
        <f t="shared" si="11"/>
        <v>805.98749999999995</v>
      </c>
      <c r="S51" s="50"/>
    </row>
    <row r="52" spans="2:19">
      <c r="B52" s="14" t="s">
        <v>16</v>
      </c>
      <c r="C52" s="18">
        <v>0</v>
      </c>
      <c r="D52" s="34">
        <v>0</v>
      </c>
      <c r="E52" s="34"/>
      <c r="F52" s="7"/>
      <c r="G52" s="18">
        <v>1</v>
      </c>
      <c r="H52" s="34">
        <v>1920.24</v>
      </c>
      <c r="I52" s="46">
        <v>1</v>
      </c>
      <c r="J52" s="34"/>
      <c r="K52" s="34"/>
      <c r="L52" s="20">
        <v>601.29999999999995</v>
      </c>
      <c r="M52" s="21">
        <v>0</v>
      </c>
      <c r="N52" s="36">
        <v>0</v>
      </c>
      <c r="O52" s="73">
        <v>0</v>
      </c>
      <c r="P52" s="67">
        <f t="shared" si="9"/>
        <v>2</v>
      </c>
      <c r="Q52" s="61">
        <f t="shared" si="10"/>
        <v>2521.54</v>
      </c>
      <c r="R52" s="50">
        <f t="shared" si="11"/>
        <v>1260.77</v>
      </c>
      <c r="S52" s="50"/>
    </row>
    <row r="53" spans="2:19">
      <c r="B53" s="14" t="s">
        <v>17</v>
      </c>
      <c r="C53" s="18">
        <v>3</v>
      </c>
      <c r="D53" s="34">
        <v>1426.8</v>
      </c>
      <c r="E53" s="34"/>
      <c r="F53" s="7"/>
      <c r="G53" s="18">
        <v>1</v>
      </c>
      <c r="H53" s="34">
        <v>661.2</v>
      </c>
      <c r="I53" s="46">
        <v>0</v>
      </c>
      <c r="J53" s="34"/>
      <c r="K53" s="34"/>
      <c r="L53" s="20">
        <v>0</v>
      </c>
      <c r="M53" s="23">
        <v>8</v>
      </c>
      <c r="N53" s="37">
        <v>3456</v>
      </c>
      <c r="O53" s="73">
        <v>0</v>
      </c>
      <c r="P53" s="67">
        <f t="shared" si="9"/>
        <v>12</v>
      </c>
      <c r="Q53" s="61">
        <f>SUM(D53+H53+L53+N53)</f>
        <v>5544</v>
      </c>
      <c r="R53" s="50">
        <f t="shared" si="11"/>
        <v>462</v>
      </c>
      <c r="S53" s="50"/>
    </row>
    <row r="54" spans="2:19" ht="15.75" thickBot="1">
      <c r="B54" s="15" t="s">
        <v>18</v>
      </c>
      <c r="C54" s="25">
        <v>1</v>
      </c>
      <c r="D54" s="42">
        <v>445.01</v>
      </c>
      <c r="E54" s="42"/>
      <c r="F54" s="141"/>
      <c r="G54" s="47">
        <v>0</v>
      </c>
      <c r="H54" s="42">
        <v>0</v>
      </c>
      <c r="I54" s="47">
        <v>0</v>
      </c>
      <c r="J54" s="42"/>
      <c r="K54" s="42"/>
      <c r="L54" s="26">
        <v>0</v>
      </c>
      <c r="M54" s="27">
        <v>10</v>
      </c>
      <c r="N54" s="45">
        <v>6489.94</v>
      </c>
      <c r="O54" s="74">
        <v>0</v>
      </c>
      <c r="P54" s="68">
        <f t="shared" si="9"/>
        <v>11</v>
      </c>
      <c r="Q54" s="63">
        <f t="shared" si="10"/>
        <v>6934.95</v>
      </c>
      <c r="R54" s="50">
        <f t="shared" si="11"/>
        <v>630.44999999999993</v>
      </c>
      <c r="S54" s="50"/>
    </row>
    <row r="55" spans="2:19" ht="15.75" thickBot="1">
      <c r="C55" s="41">
        <f t="shared" ref="C55:N55" si="12">SUM(C43:C54)</f>
        <v>20</v>
      </c>
      <c r="D55" s="4">
        <f t="shared" si="12"/>
        <v>9590.64</v>
      </c>
      <c r="E55" s="4"/>
      <c r="F55" s="4"/>
      <c r="G55" s="41">
        <f t="shared" si="12"/>
        <v>5</v>
      </c>
      <c r="H55" s="4">
        <f t="shared" si="12"/>
        <v>6474.05</v>
      </c>
      <c r="I55" s="41">
        <f t="shared" si="12"/>
        <v>7</v>
      </c>
      <c r="J55" s="4"/>
      <c r="K55" s="4"/>
      <c r="L55" s="4">
        <f t="shared" si="12"/>
        <v>6451.8200000000006</v>
      </c>
      <c r="M55" s="11">
        <f t="shared" si="12"/>
        <v>28</v>
      </c>
      <c r="N55" s="4">
        <f t="shared" si="12"/>
        <v>15382.54</v>
      </c>
      <c r="O55" s="57"/>
      <c r="P55" s="69">
        <f>SUM(P43:P54)</f>
        <v>60</v>
      </c>
      <c r="Q55" s="70">
        <f>SUM(Q43:Q54)</f>
        <v>37899.050000000003</v>
      </c>
      <c r="R55" s="50">
        <f t="shared" si="11"/>
        <v>631.65083333333337</v>
      </c>
      <c r="S55" s="9"/>
    </row>
    <row r="56" spans="2:19" ht="15.75" thickTop="1">
      <c r="D56" s="7"/>
      <c r="E56" s="7"/>
      <c r="F56" s="7"/>
      <c r="G56" s="8"/>
      <c r="H56" s="8"/>
      <c r="I56" s="8"/>
      <c r="J56" s="8"/>
      <c r="K56" s="8"/>
      <c r="L56" s="9"/>
      <c r="M56" s="9"/>
      <c r="N56" s="9"/>
      <c r="O56" s="9"/>
      <c r="P56" s="9"/>
      <c r="Q56" s="9"/>
      <c r="R56" s="9"/>
      <c r="S56" s="9"/>
    </row>
    <row r="57" spans="2:19">
      <c r="I57" s="54" t="s">
        <v>19</v>
      </c>
      <c r="J57" s="54"/>
      <c r="K57" s="54"/>
      <c r="L57" s="10">
        <f>(Q19/(COUNTA(C7:C18)))</f>
        <v>63065.518333333333</v>
      </c>
      <c r="M57" s="8" t="s">
        <v>0</v>
      </c>
      <c r="N57" s="9"/>
      <c r="O57" s="9"/>
    </row>
    <row r="58" spans="2:19">
      <c r="I58" s="54" t="s">
        <v>19</v>
      </c>
      <c r="J58" s="54"/>
      <c r="K58" s="54"/>
      <c r="L58" s="10">
        <f>(Q37/(COUNTA(C25:C36)))</f>
        <v>127064.14166666668</v>
      </c>
      <c r="M58" s="8" t="s">
        <v>31</v>
      </c>
      <c r="N58" s="9"/>
      <c r="O58" s="9"/>
    </row>
    <row r="59" spans="2:19" ht="15.75" thickBot="1">
      <c r="I59" s="54" t="s">
        <v>19</v>
      </c>
      <c r="J59" s="54"/>
      <c r="K59" s="54"/>
      <c r="L59" s="9">
        <f>Q55/(COUNTA(C43:C54))</f>
        <v>3158.2541666666671</v>
      </c>
      <c r="M59" s="8" t="s">
        <v>33</v>
      </c>
      <c r="N59" s="9"/>
      <c r="O59" s="9"/>
    </row>
    <row r="60" spans="2:19" ht="15.75" thickBot="1">
      <c r="D60" s="7"/>
      <c r="E60" s="7"/>
      <c r="F60" s="7"/>
      <c r="G60" s="8"/>
      <c r="H60" s="8"/>
      <c r="I60" s="8"/>
      <c r="J60" s="8"/>
      <c r="K60" s="8"/>
      <c r="L60" s="9"/>
      <c r="M60" s="9"/>
      <c r="N60" s="9"/>
      <c r="O60" s="9"/>
      <c r="P60" s="254" t="s">
        <v>43</v>
      </c>
      <c r="Q60" s="255"/>
      <c r="R60" s="256"/>
      <c r="S60" s="9"/>
    </row>
    <row r="61" spans="2:19">
      <c r="D61" s="77" t="s">
        <v>20</v>
      </c>
      <c r="E61" s="77"/>
      <c r="F61" s="77"/>
      <c r="G61" s="77" t="s">
        <v>36</v>
      </c>
      <c r="H61" s="5"/>
      <c r="I61" s="77" t="s">
        <v>21</v>
      </c>
      <c r="J61" s="77"/>
      <c r="K61" s="77"/>
      <c r="L61" s="77" t="s">
        <v>32</v>
      </c>
      <c r="M61" s="77"/>
      <c r="N61" s="77" t="s">
        <v>22</v>
      </c>
      <c r="P61" s="86" t="s">
        <v>20</v>
      </c>
      <c r="Q61" s="77" t="s">
        <v>36</v>
      </c>
      <c r="R61" s="87" t="s">
        <v>32</v>
      </c>
      <c r="S61" s="77"/>
    </row>
    <row r="62" spans="2:19">
      <c r="B62" s="78" t="s">
        <v>37</v>
      </c>
      <c r="D62" s="79">
        <f>SUM(D19+I19)</f>
        <v>567204.86</v>
      </c>
      <c r="E62" s="79"/>
      <c r="F62" s="79"/>
      <c r="G62" s="79">
        <f>SUM(D37+I37)</f>
        <v>1148831.8</v>
      </c>
      <c r="H62" s="79"/>
      <c r="I62" s="79">
        <f>D62+G62</f>
        <v>1716036.6600000001</v>
      </c>
      <c r="J62" s="79"/>
      <c r="K62" s="79"/>
      <c r="L62" s="79">
        <f>D55+H55+N55</f>
        <v>31447.23</v>
      </c>
      <c r="M62" s="79"/>
      <c r="N62" s="79">
        <f>SUM(I62:M62)</f>
        <v>1747483.8900000001</v>
      </c>
      <c r="P62" s="88">
        <f>SUM(D62/N62)</f>
        <v>0.32458374194225043</v>
      </c>
      <c r="Q62" s="80">
        <f>SUM(G62/N62)</f>
        <v>0.65742053850922766</v>
      </c>
      <c r="R62" s="89">
        <f>L62/N62</f>
        <v>1.7995719548521846E-2</v>
      </c>
      <c r="S62" s="80"/>
    </row>
    <row r="63" spans="2:19">
      <c r="B63" s="81" t="s">
        <v>39</v>
      </c>
      <c r="D63" s="79">
        <f>SUM(I19:L19)</f>
        <v>12954.11</v>
      </c>
      <c r="E63" s="79"/>
      <c r="F63" s="79"/>
      <c r="G63" s="79">
        <f>SUM(I37:L37)</f>
        <v>119633.49</v>
      </c>
      <c r="H63" s="79"/>
      <c r="I63" s="79">
        <f>D63+G63</f>
        <v>132587.6</v>
      </c>
      <c r="J63" s="79"/>
      <c r="K63" s="79"/>
      <c r="L63" s="79"/>
      <c r="M63" s="79"/>
      <c r="N63" s="79">
        <f>SUM(I63:M63)</f>
        <v>132587.6</v>
      </c>
      <c r="P63" s="88">
        <f t="shared" ref="P63:P64" si="13">SUM(D63/N63)</f>
        <v>9.7702273817461063E-2</v>
      </c>
      <c r="Q63" s="80">
        <f t="shared" ref="Q63:Q64" si="14">SUM(G63/N63)</f>
        <v>0.9022977261825389</v>
      </c>
      <c r="R63" s="89">
        <f t="shared" ref="R63" si="15">L63/N63</f>
        <v>0</v>
      </c>
      <c r="S63" s="80"/>
    </row>
    <row r="64" spans="2:19" ht="15.75" thickBot="1">
      <c r="B64" s="81" t="s">
        <v>40</v>
      </c>
      <c r="D64" s="79">
        <f>G19+L19+N19</f>
        <v>3350</v>
      </c>
      <c r="E64" s="79"/>
      <c r="F64" s="79"/>
      <c r="G64" s="79">
        <f>G37+L37+N37</f>
        <v>16690.97</v>
      </c>
      <c r="H64" s="79"/>
      <c r="I64" s="79">
        <f>D64+G64</f>
        <v>20040.97</v>
      </c>
      <c r="J64" s="79"/>
      <c r="K64" s="79"/>
      <c r="L64" s="79">
        <f>L55</f>
        <v>6451.8200000000006</v>
      </c>
      <c r="M64" s="79"/>
      <c r="N64" s="79">
        <f>SUM(I64:M64)</f>
        <v>26492.79</v>
      </c>
      <c r="P64" s="90">
        <f t="shared" si="13"/>
        <v>0.12644949814647682</v>
      </c>
      <c r="Q64" s="91">
        <f t="shared" si="14"/>
        <v>0.63001933733668669</v>
      </c>
      <c r="R64" s="92">
        <f>L64/N64</f>
        <v>0.24353116451683648</v>
      </c>
      <c r="S64" s="80"/>
    </row>
    <row r="65" spans="2:19" ht="15.75" thickBot="1">
      <c r="B65" t="s">
        <v>42</v>
      </c>
      <c r="D65" s="79">
        <f>O19</f>
        <v>0</v>
      </c>
      <c r="E65" s="79"/>
      <c r="F65" s="79"/>
      <c r="G65" s="79">
        <f>O37</f>
        <v>24409.190000000002</v>
      </c>
      <c r="H65" s="79"/>
      <c r="I65" s="79">
        <f>D65+G65</f>
        <v>24409.190000000002</v>
      </c>
      <c r="J65" s="79"/>
      <c r="K65" s="79"/>
      <c r="L65" s="79"/>
      <c r="M65" s="79"/>
      <c r="N65" s="79">
        <f>SUM(I65:M65)</f>
        <v>24409.190000000002</v>
      </c>
      <c r="P65" s="80"/>
      <c r="Q65" s="80"/>
      <c r="R65" s="80"/>
      <c r="S65" s="80"/>
    </row>
    <row r="66" spans="2:19" ht="15.75" thickBot="1">
      <c r="B66" s="82" t="s">
        <v>23</v>
      </c>
      <c r="C66" s="57"/>
      <c r="D66" s="83">
        <f>SUM(D62:D65)-I19</f>
        <v>575354.86</v>
      </c>
      <c r="E66" s="83"/>
      <c r="F66" s="83"/>
      <c r="G66" s="83">
        <f>SUM(G62:G65)-I37</f>
        <v>1206772.54</v>
      </c>
      <c r="H66" s="83"/>
      <c r="I66" s="83">
        <f>SUM(I62:I65)-I63</f>
        <v>1760486.82</v>
      </c>
      <c r="J66" s="83"/>
      <c r="K66" s="83"/>
      <c r="L66" s="83">
        <f>SUM(L62:L65)</f>
        <v>37899.050000000003</v>
      </c>
      <c r="M66" s="83"/>
      <c r="N66" s="83">
        <f>SUM(N62:N65)-N63</f>
        <v>1798385.87</v>
      </c>
      <c r="O66" s="57"/>
      <c r="P66" s="84" t="s">
        <v>41</v>
      </c>
      <c r="Q66" s="84" t="s">
        <v>41</v>
      </c>
      <c r="R66" s="85"/>
      <c r="S66" s="85"/>
    </row>
    <row r="67" spans="2:19" ht="15.75" thickTop="1">
      <c r="L67" s="51"/>
    </row>
    <row r="68" spans="2:19">
      <c r="I68" s="51"/>
      <c r="J68" s="51"/>
      <c r="K68" s="51"/>
    </row>
    <row r="69" spans="2:19">
      <c r="B69" s="130" t="s">
        <v>984</v>
      </c>
      <c r="L69" s="51"/>
    </row>
    <row r="70" spans="2:19">
      <c r="B70" t="s">
        <v>983</v>
      </c>
    </row>
    <row r="71" spans="2:19">
      <c r="L71" s="51"/>
    </row>
  </sheetData>
  <mergeCells count="15">
    <mergeCell ref="P60:R60"/>
    <mergeCell ref="C23:G23"/>
    <mergeCell ref="H23:L23"/>
    <mergeCell ref="M23:O23"/>
    <mergeCell ref="P23:Q23"/>
    <mergeCell ref="C40:Q40"/>
    <mergeCell ref="C41:L41"/>
    <mergeCell ref="M41:O41"/>
    <mergeCell ref="P41:Q41"/>
    <mergeCell ref="C22:Q22"/>
    <mergeCell ref="C4:Q4"/>
    <mergeCell ref="C5:G5"/>
    <mergeCell ref="H5:L5"/>
    <mergeCell ref="M5:O5"/>
    <mergeCell ref="P5:Q5"/>
  </mergeCells>
  <pageMargins left="0.52" right="0.2" top="0.27" bottom="0.2" header="0.3" footer="0.2"/>
  <pageSetup paperSize="9" scale="53" orientation="landscape" verticalDpi="0" r:id="rId1"/>
  <colBreaks count="1" manualBreakCount="1"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B60A-801C-4BC5-90BD-BA9CD8B00D74}">
  <dimension ref="A1:L26"/>
  <sheetViews>
    <sheetView workbookViewId="0">
      <selection activeCell="D30" sqref="D30"/>
    </sheetView>
  </sheetViews>
  <sheetFormatPr defaultRowHeight="15"/>
  <cols>
    <col min="1" max="1" width="16.85546875" bestFit="1" customWidth="1"/>
    <col min="3" max="3" width="10.7109375" bestFit="1" customWidth="1"/>
    <col min="4" max="4" width="35.28515625" bestFit="1" customWidth="1"/>
    <col min="5" max="5" width="10.85546875" bestFit="1" customWidth="1"/>
    <col min="6" max="6" width="15.42578125" bestFit="1" customWidth="1"/>
    <col min="7" max="7" width="10" style="50" bestFit="1" customWidth="1"/>
    <col min="8" max="8" width="9" style="50" bestFit="1" customWidth="1"/>
    <col min="9" max="9" width="10" style="50" bestFit="1" customWidth="1"/>
    <col min="10" max="10" width="11" style="50" bestFit="1" customWidth="1"/>
  </cols>
  <sheetData>
    <row r="1" spans="1:12" s="181" customFormat="1">
      <c r="A1" s="181" t="s">
        <v>229</v>
      </c>
      <c r="C1" s="182" t="s">
        <v>228</v>
      </c>
      <c r="D1" s="181" t="s">
        <v>227</v>
      </c>
      <c r="E1" s="181" t="s">
        <v>226</v>
      </c>
      <c r="F1" s="181" t="s">
        <v>225</v>
      </c>
      <c r="G1" s="183" t="s">
        <v>224</v>
      </c>
      <c r="H1" s="183" t="s">
        <v>223</v>
      </c>
      <c r="I1" s="183" t="s">
        <v>222</v>
      </c>
      <c r="J1" s="183" t="s">
        <v>29</v>
      </c>
      <c r="K1" s="181" t="s">
        <v>725</v>
      </c>
    </row>
    <row r="2" spans="1:12" s="148" customFormat="1">
      <c r="A2" s="148" t="s">
        <v>1297</v>
      </c>
      <c r="B2" s="148" t="s">
        <v>736</v>
      </c>
      <c r="C2" s="149">
        <v>45239</v>
      </c>
      <c r="D2" s="148" t="s">
        <v>1298</v>
      </c>
      <c r="E2" s="148" t="s">
        <v>1299</v>
      </c>
      <c r="F2" s="148" t="s">
        <v>1300</v>
      </c>
      <c r="G2" s="150">
        <v>282</v>
      </c>
      <c r="H2" s="150">
        <v>318</v>
      </c>
      <c r="I2" s="150">
        <v>600</v>
      </c>
      <c r="J2" s="150">
        <v>600</v>
      </c>
      <c r="K2" s="148" t="s">
        <v>232</v>
      </c>
      <c r="L2" s="148" t="s">
        <v>1330</v>
      </c>
    </row>
    <row r="3" spans="1:12" s="178" customFormat="1" ht="15.75" thickBot="1">
      <c r="A3" s="178" t="s">
        <v>1301</v>
      </c>
      <c r="B3" s="178" t="s">
        <v>736</v>
      </c>
      <c r="C3" s="179">
        <v>45254</v>
      </c>
      <c r="D3" s="178" t="s">
        <v>235</v>
      </c>
      <c r="E3" s="178" t="s">
        <v>1302</v>
      </c>
      <c r="F3" s="178" t="s">
        <v>1303</v>
      </c>
      <c r="G3" s="180">
        <v>1084.9000000000001</v>
      </c>
      <c r="H3" s="180">
        <v>228</v>
      </c>
      <c r="I3" s="180">
        <v>1312.9</v>
      </c>
      <c r="J3" s="180">
        <v>1312.9</v>
      </c>
      <c r="K3" s="178" t="s">
        <v>231</v>
      </c>
    </row>
    <row r="4" spans="1:12" s="148" customFormat="1">
      <c r="A4" s="148" t="s">
        <v>1304</v>
      </c>
      <c r="B4" s="148" t="s">
        <v>737</v>
      </c>
      <c r="C4" s="149">
        <v>45262</v>
      </c>
      <c r="D4" s="148" t="s">
        <v>289</v>
      </c>
      <c r="E4" s="148" t="s">
        <v>290</v>
      </c>
      <c r="F4" s="148" t="s">
        <v>1305</v>
      </c>
      <c r="G4" s="150">
        <v>900</v>
      </c>
      <c r="H4" s="150"/>
      <c r="I4" s="150">
        <v>900</v>
      </c>
      <c r="J4" s="150">
        <v>900</v>
      </c>
      <c r="K4" s="148" t="s">
        <v>232</v>
      </c>
      <c r="L4" s="148" t="s">
        <v>1330</v>
      </c>
    </row>
    <row r="5" spans="1:12" s="148" customFormat="1">
      <c r="A5" s="148" t="s">
        <v>1306</v>
      </c>
      <c r="B5" s="148" t="s">
        <v>737</v>
      </c>
      <c r="C5" s="149">
        <v>45273</v>
      </c>
      <c r="D5" s="148" t="s">
        <v>235</v>
      </c>
      <c r="E5" s="148" t="s">
        <v>1307</v>
      </c>
      <c r="F5" s="148" t="s">
        <v>1308</v>
      </c>
      <c r="G5" s="150">
        <v>1517.35</v>
      </c>
      <c r="H5" s="150">
        <v>300</v>
      </c>
      <c r="I5" s="150">
        <v>1817.35</v>
      </c>
      <c r="J5" s="150">
        <v>1817.35</v>
      </c>
      <c r="K5" s="148" t="s">
        <v>231</v>
      </c>
    </row>
    <row r="6" spans="1:12" s="148" customFormat="1">
      <c r="A6" s="148" t="s">
        <v>1309</v>
      </c>
      <c r="B6" s="148" t="s">
        <v>737</v>
      </c>
      <c r="C6" s="149">
        <v>45287</v>
      </c>
      <c r="D6" s="148" t="s">
        <v>235</v>
      </c>
      <c r="E6" s="148" t="s">
        <v>1310</v>
      </c>
      <c r="F6" s="148" t="s">
        <v>1311</v>
      </c>
      <c r="G6" s="150">
        <v>1566.05</v>
      </c>
      <c r="H6" s="150">
        <v>276</v>
      </c>
      <c r="I6" s="150">
        <v>1842.05</v>
      </c>
      <c r="J6" s="150">
        <v>1842.05</v>
      </c>
      <c r="K6" s="148" t="s">
        <v>231</v>
      </c>
    </row>
    <row r="7" spans="1:12" s="148" customFormat="1">
      <c r="A7" s="148" t="s">
        <v>1312</v>
      </c>
      <c r="B7" s="148" t="s">
        <v>737</v>
      </c>
      <c r="C7" s="149">
        <v>45287</v>
      </c>
      <c r="D7" s="148" t="s">
        <v>235</v>
      </c>
      <c r="E7" s="148" t="s">
        <v>1313</v>
      </c>
      <c r="F7" s="148" t="s">
        <v>1314</v>
      </c>
      <c r="G7" s="150">
        <v>2596.3200000000002</v>
      </c>
      <c r="H7" s="150">
        <v>240</v>
      </c>
      <c r="I7" s="150">
        <v>2836.32</v>
      </c>
      <c r="J7" s="150">
        <v>2836.32</v>
      </c>
      <c r="K7" s="148" t="s">
        <v>231</v>
      </c>
    </row>
    <row r="8" spans="1:12" s="148" customFormat="1">
      <c r="A8" s="148" t="s">
        <v>1315</v>
      </c>
      <c r="B8" s="148" t="s">
        <v>737</v>
      </c>
      <c r="C8" s="149">
        <v>45288</v>
      </c>
      <c r="D8" s="148" t="s">
        <v>235</v>
      </c>
      <c r="E8" s="148" t="s">
        <v>498</v>
      </c>
      <c r="F8" s="148" t="s">
        <v>1316</v>
      </c>
      <c r="G8" s="150">
        <v>1642.39</v>
      </c>
      <c r="H8" s="150">
        <v>708</v>
      </c>
      <c r="I8" s="150">
        <v>2350.39</v>
      </c>
      <c r="J8" s="150">
        <v>2350.39</v>
      </c>
      <c r="K8" s="148" t="s">
        <v>230</v>
      </c>
    </row>
    <row r="9" spans="1:12" s="148" customFormat="1">
      <c r="A9" s="148" t="s">
        <v>1317</v>
      </c>
      <c r="B9" s="148" t="s">
        <v>737</v>
      </c>
      <c r="C9" s="149">
        <v>45288</v>
      </c>
      <c r="D9" s="148" t="s">
        <v>235</v>
      </c>
      <c r="E9" s="148" t="s">
        <v>1318</v>
      </c>
      <c r="F9" s="148" t="s">
        <v>1319</v>
      </c>
      <c r="G9" s="150">
        <v>3739.61</v>
      </c>
      <c r="H9" s="150">
        <v>3132</v>
      </c>
      <c r="I9" s="150">
        <v>6871.61</v>
      </c>
      <c r="J9" s="150">
        <v>6871.61</v>
      </c>
      <c r="K9" s="148" t="s">
        <v>230</v>
      </c>
    </row>
    <row r="10" spans="1:12" s="148" customFormat="1">
      <c r="A10" s="148" t="s">
        <v>1320</v>
      </c>
      <c r="B10" s="148" t="s">
        <v>737</v>
      </c>
      <c r="C10" s="149">
        <v>45288</v>
      </c>
      <c r="D10" s="148" t="s">
        <v>235</v>
      </c>
      <c r="E10" s="148" t="s">
        <v>290</v>
      </c>
      <c r="F10" s="148" t="s">
        <v>1321</v>
      </c>
      <c r="G10" s="150">
        <v>19138.12</v>
      </c>
      <c r="H10" s="150">
        <v>3840</v>
      </c>
      <c r="I10" s="150">
        <v>22978.12</v>
      </c>
      <c r="J10" s="150">
        <v>22978.12</v>
      </c>
      <c r="K10" s="148" t="s">
        <v>230</v>
      </c>
    </row>
    <row r="11" spans="1:12" s="148" customFormat="1">
      <c r="A11" s="148" t="s">
        <v>1322</v>
      </c>
      <c r="B11" s="148" t="s">
        <v>737</v>
      </c>
      <c r="C11" s="149">
        <v>45290</v>
      </c>
      <c r="D11" s="148" t="s">
        <v>235</v>
      </c>
      <c r="E11" s="148" t="s">
        <v>1323</v>
      </c>
      <c r="F11" s="148" t="s">
        <v>1324</v>
      </c>
      <c r="G11" s="150">
        <v>31483.63</v>
      </c>
      <c r="H11" s="150">
        <v>2916</v>
      </c>
      <c r="I11" s="150">
        <v>34399.629999999997</v>
      </c>
      <c r="J11" s="150">
        <v>34399.629999999997</v>
      </c>
      <c r="K11" s="148" t="s">
        <v>230</v>
      </c>
    </row>
    <row r="12" spans="1:12" s="148" customFormat="1">
      <c r="A12" s="148" t="s">
        <v>1325</v>
      </c>
      <c r="B12" s="148" t="s">
        <v>737</v>
      </c>
      <c r="C12" s="149">
        <v>45289</v>
      </c>
      <c r="D12" s="148" t="s">
        <v>235</v>
      </c>
      <c r="E12" s="148" t="s">
        <v>348</v>
      </c>
      <c r="F12" s="148" t="s">
        <v>1326</v>
      </c>
      <c r="G12" s="150">
        <v>11115</v>
      </c>
      <c r="H12" s="150">
        <v>2736</v>
      </c>
      <c r="I12" s="150">
        <v>13851</v>
      </c>
      <c r="J12" s="150">
        <v>13851</v>
      </c>
      <c r="K12" s="148" t="s">
        <v>230</v>
      </c>
    </row>
    <row r="13" spans="1:12" s="148" customFormat="1">
      <c r="A13" s="148" t="s">
        <v>1327</v>
      </c>
      <c r="B13" s="148" t="s">
        <v>737</v>
      </c>
      <c r="C13" s="149">
        <v>45290</v>
      </c>
      <c r="D13" s="148" t="s">
        <v>235</v>
      </c>
      <c r="E13" s="148" t="s">
        <v>1328</v>
      </c>
      <c r="F13" s="148" t="s">
        <v>1329</v>
      </c>
      <c r="G13" s="150">
        <v>5586.6</v>
      </c>
      <c r="H13" s="150">
        <v>7908</v>
      </c>
      <c r="I13" s="150">
        <v>13494.6</v>
      </c>
      <c r="J13" s="150">
        <v>13494.6</v>
      </c>
      <c r="K13" s="148" t="s">
        <v>230</v>
      </c>
    </row>
    <row r="14" spans="1:12" s="148" customFormat="1">
      <c r="C14" s="149"/>
      <c r="G14" s="150"/>
      <c r="H14" s="150"/>
      <c r="I14" s="150"/>
      <c r="J14" s="150"/>
    </row>
    <row r="15" spans="1:12">
      <c r="J15" s="50">
        <f>SUM(J2:J14)</f>
        <v>103253.97</v>
      </c>
    </row>
    <row r="21" spans="1:7" s="148" customFormat="1">
      <c r="A21" s="148" t="s">
        <v>229</v>
      </c>
      <c r="B21" s="148" t="s">
        <v>856</v>
      </c>
      <c r="C21" s="149" t="s">
        <v>228</v>
      </c>
      <c r="D21" s="148" t="s">
        <v>227</v>
      </c>
      <c r="E21" s="148" t="s">
        <v>894</v>
      </c>
      <c r="F21" s="148" t="s">
        <v>29</v>
      </c>
    </row>
    <row r="22" spans="1:7" s="148" customFormat="1">
      <c r="A22" s="148" t="s">
        <v>948</v>
      </c>
      <c r="B22" s="148" t="s">
        <v>738</v>
      </c>
      <c r="C22" s="149">
        <v>45365</v>
      </c>
      <c r="D22" s="148" t="s">
        <v>235</v>
      </c>
      <c r="E22" s="148" t="s">
        <v>319</v>
      </c>
      <c r="F22" s="150">
        <v>822.7</v>
      </c>
      <c r="G22" s="148" t="s">
        <v>230</v>
      </c>
    </row>
    <row r="23" spans="1:7" s="148" customFormat="1">
      <c r="A23" s="148" t="s">
        <v>949</v>
      </c>
      <c r="B23" s="148" t="s">
        <v>738</v>
      </c>
      <c r="C23" s="149">
        <v>45373</v>
      </c>
      <c r="D23" s="148" t="s">
        <v>235</v>
      </c>
      <c r="E23" s="148" t="s">
        <v>283</v>
      </c>
      <c r="F23" s="150">
        <v>3126.93</v>
      </c>
      <c r="G23" s="148" t="s">
        <v>230</v>
      </c>
    </row>
    <row r="24" spans="1:7" s="148" customFormat="1">
      <c r="A24" s="148" t="s">
        <v>950</v>
      </c>
      <c r="B24" s="148" t="s">
        <v>738</v>
      </c>
      <c r="C24" s="149">
        <v>45376</v>
      </c>
      <c r="D24" s="148" t="s">
        <v>235</v>
      </c>
      <c r="E24" s="148" t="s">
        <v>351</v>
      </c>
      <c r="F24" s="150">
        <v>4750</v>
      </c>
      <c r="G24" s="148" t="s">
        <v>230</v>
      </c>
    </row>
    <row r="26" spans="1:7">
      <c r="F26" s="50">
        <f>SUM(F22:F24)</f>
        <v>8699.630000000001</v>
      </c>
    </row>
  </sheetData>
  <autoFilter ref="A1:K13" xr:uid="{477CB60A-801C-4BC5-90BD-BA9CD8B00D7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A4532-F3D4-41D9-A070-80C2B8D5C2CA}">
  <dimension ref="A1:M218"/>
  <sheetViews>
    <sheetView topLeftCell="A136" workbookViewId="0">
      <selection activeCell="J5" activeCellId="3" sqref="J20 J32 J33 J5"/>
    </sheetView>
  </sheetViews>
  <sheetFormatPr defaultRowHeight="15"/>
  <cols>
    <col min="1" max="1" width="13.7109375" bestFit="1" customWidth="1"/>
    <col min="2" max="2" width="13.7109375" customWidth="1"/>
    <col min="3" max="3" width="10.7109375" style="105" bestFit="1" customWidth="1"/>
    <col min="4" max="4" width="44" bestFit="1" customWidth="1"/>
    <col min="5" max="5" width="20.140625" bestFit="1" customWidth="1"/>
    <col min="6" max="6" width="15.5703125" bestFit="1" customWidth="1"/>
    <col min="7" max="7" width="10.5703125" bestFit="1" customWidth="1"/>
    <col min="8" max="9" width="10" bestFit="1" customWidth="1"/>
    <col min="10" max="10" width="12.5703125" bestFit="1" customWidth="1"/>
    <col min="11" max="11" width="13.28515625" bestFit="1" customWidth="1"/>
  </cols>
  <sheetData>
    <row r="1" spans="1:12">
      <c r="A1" t="s">
        <v>229</v>
      </c>
      <c r="C1" s="105" t="s">
        <v>228</v>
      </c>
      <c r="D1" t="s">
        <v>227</v>
      </c>
      <c r="E1" t="s">
        <v>226</v>
      </c>
      <c r="F1" t="s">
        <v>225</v>
      </c>
      <c r="G1" t="s">
        <v>224</v>
      </c>
      <c r="H1" t="s">
        <v>223</v>
      </c>
      <c r="I1" t="s">
        <v>222</v>
      </c>
      <c r="J1" t="s">
        <v>29</v>
      </c>
      <c r="K1" t="s">
        <v>725</v>
      </c>
    </row>
    <row r="2" spans="1:12">
      <c r="A2" t="s">
        <v>234</v>
      </c>
      <c r="B2" t="s">
        <v>728</v>
      </c>
      <c r="C2" s="105">
        <v>45295</v>
      </c>
      <c r="D2" t="s">
        <v>235</v>
      </c>
      <c r="E2" t="s">
        <v>236</v>
      </c>
      <c r="F2" t="s">
        <v>237</v>
      </c>
      <c r="G2" s="50">
        <v>17559.82</v>
      </c>
      <c r="H2" s="50">
        <v>6072</v>
      </c>
      <c r="I2" s="50">
        <v>23631.82</v>
      </c>
      <c r="J2" s="50">
        <v>23631.82</v>
      </c>
      <c r="K2" s="112" t="s">
        <v>230</v>
      </c>
    </row>
    <row r="3" spans="1:12">
      <c r="A3" t="s">
        <v>238</v>
      </c>
      <c r="C3" s="105">
        <v>45296</v>
      </c>
      <c r="D3" t="s">
        <v>235</v>
      </c>
      <c r="E3" t="s">
        <v>239</v>
      </c>
      <c r="F3" t="s">
        <v>240</v>
      </c>
      <c r="G3" s="50">
        <v>5047.53</v>
      </c>
      <c r="H3" s="50">
        <v>2628</v>
      </c>
      <c r="I3" s="50">
        <v>7675.53</v>
      </c>
      <c r="J3" s="50">
        <v>7675.53</v>
      </c>
      <c r="K3" s="112" t="s">
        <v>230</v>
      </c>
    </row>
    <row r="4" spans="1:12">
      <c r="A4" t="s">
        <v>241</v>
      </c>
      <c r="B4" t="s">
        <v>728</v>
      </c>
      <c r="C4" s="105">
        <v>45297</v>
      </c>
      <c r="D4" t="s">
        <v>235</v>
      </c>
      <c r="E4" t="s">
        <v>242</v>
      </c>
      <c r="F4" t="s">
        <v>243</v>
      </c>
      <c r="G4" s="50">
        <v>2936.8</v>
      </c>
      <c r="H4" s="50">
        <v>240</v>
      </c>
      <c r="I4" s="50">
        <v>3176.8</v>
      </c>
      <c r="J4" s="50">
        <v>3176.8</v>
      </c>
      <c r="K4" s="112" t="s">
        <v>231</v>
      </c>
    </row>
    <row r="5" spans="1:12">
      <c r="A5" t="s">
        <v>244</v>
      </c>
      <c r="C5" s="105">
        <v>45299</v>
      </c>
      <c r="D5" t="s">
        <v>245</v>
      </c>
      <c r="E5" t="s">
        <v>246</v>
      </c>
      <c r="F5" t="s">
        <v>247</v>
      </c>
      <c r="G5" s="50">
        <v>90</v>
      </c>
      <c r="H5" s="50">
        <v>1310</v>
      </c>
      <c r="I5" s="50">
        <v>1400</v>
      </c>
      <c r="J5" s="50">
        <v>1400</v>
      </c>
      <c r="K5" s="112" t="s">
        <v>232</v>
      </c>
      <c r="L5" t="s">
        <v>26</v>
      </c>
    </row>
    <row r="6" spans="1:12">
      <c r="A6" t="s">
        <v>248</v>
      </c>
      <c r="C6" s="105">
        <v>45301</v>
      </c>
      <c r="D6" t="s">
        <v>235</v>
      </c>
      <c r="E6" t="s">
        <v>249</v>
      </c>
      <c r="F6" t="s">
        <v>250</v>
      </c>
      <c r="G6" s="50">
        <v>22110.19</v>
      </c>
      <c r="H6" s="50">
        <v>5328</v>
      </c>
      <c r="I6" s="50">
        <v>27438.19</v>
      </c>
      <c r="J6" s="50">
        <v>27438.19</v>
      </c>
      <c r="K6" s="112" t="s">
        <v>230</v>
      </c>
    </row>
    <row r="7" spans="1:12">
      <c r="A7" t="s">
        <v>251</v>
      </c>
      <c r="C7" s="105">
        <v>45302</v>
      </c>
      <c r="D7" t="s">
        <v>235</v>
      </c>
      <c r="E7" t="s">
        <v>252</v>
      </c>
      <c r="F7" t="s">
        <v>253</v>
      </c>
      <c r="G7" s="50">
        <v>5043.1499999999996</v>
      </c>
      <c r="H7" s="50">
        <v>1764</v>
      </c>
      <c r="I7" s="50">
        <v>6807.15</v>
      </c>
      <c r="J7" s="50">
        <v>6807.15</v>
      </c>
      <c r="K7" s="112" t="s">
        <v>230</v>
      </c>
    </row>
    <row r="8" spans="1:12">
      <c r="A8" t="s">
        <v>254</v>
      </c>
      <c r="C8" s="105">
        <v>45308</v>
      </c>
      <c r="D8" t="s">
        <v>235</v>
      </c>
      <c r="E8" t="s">
        <v>255</v>
      </c>
      <c r="F8" t="s">
        <v>256</v>
      </c>
      <c r="G8" s="50">
        <v>12185.29</v>
      </c>
      <c r="H8" s="50">
        <v>2616</v>
      </c>
      <c r="I8" s="50">
        <v>14801.29</v>
      </c>
      <c r="J8" s="50">
        <v>14801.29</v>
      </c>
      <c r="K8" s="112" t="s">
        <v>230</v>
      </c>
    </row>
    <row r="9" spans="1:12">
      <c r="A9" t="s">
        <v>257</v>
      </c>
      <c r="C9" s="105">
        <v>45308</v>
      </c>
      <c r="D9" t="s">
        <v>235</v>
      </c>
      <c r="E9" t="s">
        <v>258</v>
      </c>
      <c r="F9" t="s">
        <v>259</v>
      </c>
      <c r="G9" s="50">
        <v>25105.62</v>
      </c>
      <c r="H9" s="50">
        <v>7956</v>
      </c>
      <c r="I9" s="50">
        <v>33061.620000000003</v>
      </c>
      <c r="J9" s="50">
        <v>33061.620000000003</v>
      </c>
      <c r="K9" s="112" t="s">
        <v>230</v>
      </c>
    </row>
    <row r="10" spans="1:12" s="106" customFormat="1">
      <c r="A10" s="106" t="s">
        <v>260</v>
      </c>
      <c r="C10" s="107">
        <v>45310</v>
      </c>
      <c r="D10" s="106" t="s">
        <v>235</v>
      </c>
      <c r="E10" s="106" t="s">
        <v>261</v>
      </c>
      <c r="F10" s="106" t="s">
        <v>262</v>
      </c>
      <c r="G10" s="108">
        <v>2025.57</v>
      </c>
      <c r="H10" s="108">
        <v>240</v>
      </c>
      <c r="I10" s="108">
        <v>0</v>
      </c>
      <c r="J10" s="108">
        <v>2265.5700000000002</v>
      </c>
      <c r="K10" s="106" t="s">
        <v>263</v>
      </c>
    </row>
    <row r="11" spans="1:12">
      <c r="A11" t="s">
        <v>264</v>
      </c>
      <c r="C11" s="105">
        <v>45317</v>
      </c>
      <c r="D11" t="s">
        <v>235</v>
      </c>
      <c r="E11" t="s">
        <v>255</v>
      </c>
      <c r="F11" t="s">
        <v>265</v>
      </c>
      <c r="G11" s="50">
        <v>1646.32</v>
      </c>
      <c r="H11" s="50">
        <v>240</v>
      </c>
      <c r="I11" s="50">
        <v>1886.32</v>
      </c>
      <c r="J11" s="50">
        <v>1886.32</v>
      </c>
      <c r="K11" s="112" t="s">
        <v>231</v>
      </c>
    </row>
    <row r="12" spans="1:12">
      <c r="A12" t="s">
        <v>266</v>
      </c>
      <c r="C12" s="105">
        <v>45317</v>
      </c>
      <c r="D12" t="s">
        <v>235</v>
      </c>
      <c r="E12" t="s">
        <v>261</v>
      </c>
      <c r="F12" t="s">
        <v>262</v>
      </c>
      <c r="G12" s="50">
        <v>1857.6</v>
      </c>
      <c r="H12" s="50">
        <v>240</v>
      </c>
      <c r="I12" s="50">
        <v>2097.6</v>
      </c>
      <c r="J12" s="50">
        <v>2097.6</v>
      </c>
      <c r="K12" s="112" t="s">
        <v>231</v>
      </c>
    </row>
    <row r="13" spans="1:12">
      <c r="A13" t="s">
        <v>267</v>
      </c>
      <c r="C13" s="105">
        <v>45314</v>
      </c>
      <c r="D13" t="s">
        <v>235</v>
      </c>
      <c r="E13" t="s">
        <v>268</v>
      </c>
      <c r="F13" t="s">
        <v>269</v>
      </c>
      <c r="G13" s="50">
        <v>1633.64</v>
      </c>
      <c r="H13" s="50">
        <v>252</v>
      </c>
      <c r="I13" s="50">
        <v>1885.64</v>
      </c>
      <c r="J13" s="50">
        <v>1885.64</v>
      </c>
      <c r="K13" s="112" t="s">
        <v>231</v>
      </c>
    </row>
    <row r="14" spans="1:12">
      <c r="A14" t="s">
        <v>270</v>
      </c>
      <c r="C14" s="105">
        <v>45298</v>
      </c>
      <c r="D14" t="s">
        <v>235</v>
      </c>
      <c r="E14" t="s">
        <v>271</v>
      </c>
      <c r="F14" t="s">
        <v>272</v>
      </c>
      <c r="G14" s="50">
        <v>6515.5</v>
      </c>
      <c r="H14" s="50">
        <v>4020</v>
      </c>
      <c r="I14" s="50">
        <v>10535.5</v>
      </c>
      <c r="J14" s="50">
        <v>10535.5</v>
      </c>
      <c r="K14" s="112" t="s">
        <v>230</v>
      </c>
    </row>
    <row r="15" spans="1:12" s="109" customFormat="1" ht="15.75" thickBot="1">
      <c r="A15" s="109" t="s">
        <v>273</v>
      </c>
      <c r="C15" s="110">
        <v>45317</v>
      </c>
      <c r="D15" s="109" t="s">
        <v>235</v>
      </c>
      <c r="E15" s="109" t="s">
        <v>274</v>
      </c>
      <c r="F15" s="109" t="s">
        <v>275</v>
      </c>
      <c r="G15" s="111">
        <v>1585.05</v>
      </c>
      <c r="H15" s="111">
        <v>276</v>
      </c>
      <c r="I15" s="111">
        <v>1861.05</v>
      </c>
      <c r="J15" s="111">
        <v>1861.05</v>
      </c>
      <c r="K15" s="113" t="s">
        <v>231</v>
      </c>
    </row>
    <row r="16" spans="1:12">
      <c r="A16" t="s">
        <v>276</v>
      </c>
      <c r="B16" t="s">
        <v>729</v>
      </c>
      <c r="C16" s="105">
        <v>45327</v>
      </c>
      <c r="D16" t="s">
        <v>235</v>
      </c>
      <c r="E16" t="s">
        <v>277</v>
      </c>
      <c r="F16" t="s">
        <v>278</v>
      </c>
      <c r="G16" s="50">
        <v>37606.720000000001</v>
      </c>
      <c r="H16" s="50">
        <v>4020</v>
      </c>
      <c r="I16" s="50">
        <v>41626.720000000001</v>
      </c>
      <c r="J16" s="50">
        <v>41626.720000000001</v>
      </c>
      <c r="K16" s="112" t="s">
        <v>230</v>
      </c>
    </row>
    <row r="17" spans="1:13">
      <c r="A17" t="s">
        <v>279</v>
      </c>
      <c r="C17" s="105">
        <v>45327</v>
      </c>
      <c r="D17" t="s">
        <v>235</v>
      </c>
      <c r="E17" t="s">
        <v>280</v>
      </c>
      <c r="F17" t="s">
        <v>281</v>
      </c>
      <c r="G17" s="50">
        <v>3951.75</v>
      </c>
      <c r="H17" s="50">
        <v>6919.2</v>
      </c>
      <c r="I17" s="50">
        <v>10870.95</v>
      </c>
      <c r="J17" s="50">
        <v>10870.95</v>
      </c>
      <c r="K17" s="112" t="s">
        <v>232</v>
      </c>
      <c r="L17" s="112" t="s">
        <v>726</v>
      </c>
    </row>
    <row r="18" spans="1:13">
      <c r="A18" t="s">
        <v>282</v>
      </c>
      <c r="C18" s="105">
        <v>45342</v>
      </c>
      <c r="D18" t="s">
        <v>235</v>
      </c>
      <c r="E18" t="s">
        <v>283</v>
      </c>
      <c r="F18" t="s">
        <v>284</v>
      </c>
      <c r="G18" s="50">
        <v>14597.41</v>
      </c>
      <c r="H18" s="50">
        <v>3468</v>
      </c>
      <c r="I18" s="50">
        <v>18065.41</v>
      </c>
      <c r="J18" s="50">
        <v>18065.41</v>
      </c>
      <c r="K18" s="112" t="s">
        <v>230</v>
      </c>
    </row>
    <row r="19" spans="1:13" s="109" customFormat="1" ht="15.75" thickBot="1">
      <c r="A19" s="109" t="s">
        <v>285</v>
      </c>
      <c r="B19" s="109" t="s">
        <v>729</v>
      </c>
      <c r="C19" s="110">
        <v>45345</v>
      </c>
      <c r="D19" s="109" t="s">
        <v>235</v>
      </c>
      <c r="E19" s="109" t="s">
        <v>286</v>
      </c>
      <c r="F19" s="109" t="s">
        <v>287</v>
      </c>
      <c r="G19" s="111">
        <v>2237.2199999999998</v>
      </c>
      <c r="H19" s="111">
        <v>240</v>
      </c>
      <c r="I19" s="111">
        <v>2477.2199999999998</v>
      </c>
      <c r="J19" s="111">
        <v>2477.2199999999998</v>
      </c>
      <c r="K19" s="113" t="s">
        <v>231</v>
      </c>
    </row>
    <row r="20" spans="1:13">
      <c r="A20" t="s">
        <v>288</v>
      </c>
      <c r="C20" s="105">
        <v>45352</v>
      </c>
      <c r="D20" t="s">
        <v>289</v>
      </c>
      <c r="E20" t="s">
        <v>290</v>
      </c>
      <c r="F20" t="s">
        <v>291</v>
      </c>
      <c r="G20" s="50">
        <v>260</v>
      </c>
      <c r="H20" s="50"/>
      <c r="I20" s="50">
        <v>260</v>
      </c>
      <c r="J20" s="50">
        <v>260</v>
      </c>
      <c r="K20" s="112" t="s">
        <v>232</v>
      </c>
      <c r="L20" t="s">
        <v>26</v>
      </c>
    </row>
    <row r="21" spans="1:13">
      <c r="A21" t="s">
        <v>292</v>
      </c>
      <c r="C21" s="105">
        <v>45356</v>
      </c>
      <c r="D21" t="s">
        <v>235</v>
      </c>
      <c r="E21" t="s">
        <v>293</v>
      </c>
      <c r="F21" t="s">
        <v>294</v>
      </c>
      <c r="G21" s="50">
        <v>1340.5</v>
      </c>
      <c r="H21" s="50"/>
      <c r="I21" s="50">
        <v>1340.5</v>
      </c>
      <c r="J21" s="114" t="s">
        <v>727</v>
      </c>
      <c r="K21" s="120" t="s">
        <v>739</v>
      </c>
    </row>
    <row r="22" spans="1:13">
      <c r="A22" t="s">
        <v>295</v>
      </c>
      <c r="B22" t="s">
        <v>738</v>
      </c>
      <c r="C22" s="105">
        <v>45356</v>
      </c>
      <c r="D22" t="s">
        <v>235</v>
      </c>
      <c r="E22" t="s">
        <v>296</v>
      </c>
      <c r="F22" t="s">
        <v>297</v>
      </c>
      <c r="G22" s="50">
        <v>12208.98</v>
      </c>
      <c r="H22" s="50">
        <v>3132</v>
      </c>
      <c r="I22" s="50">
        <v>15340.98</v>
      </c>
      <c r="J22" s="50">
        <v>15340.98</v>
      </c>
      <c r="K22" s="120" t="s">
        <v>230</v>
      </c>
    </row>
    <row r="23" spans="1:13">
      <c r="A23" t="s">
        <v>298</v>
      </c>
      <c r="C23" s="105">
        <v>45356</v>
      </c>
      <c r="D23" t="s">
        <v>235</v>
      </c>
      <c r="E23" t="s">
        <v>299</v>
      </c>
      <c r="F23" t="s">
        <v>300</v>
      </c>
      <c r="G23" s="50">
        <v>1129.5</v>
      </c>
      <c r="H23" s="50"/>
      <c r="I23" s="50">
        <v>1129.5</v>
      </c>
      <c r="J23" s="50">
        <v>1129.5</v>
      </c>
      <c r="K23" s="120" t="s">
        <v>739</v>
      </c>
    </row>
    <row r="24" spans="1:13">
      <c r="A24" t="s">
        <v>301</v>
      </c>
      <c r="C24" s="105">
        <v>45356</v>
      </c>
      <c r="D24" t="s">
        <v>235</v>
      </c>
      <c r="E24" t="s">
        <v>302</v>
      </c>
      <c r="F24" t="s">
        <v>303</v>
      </c>
      <c r="G24" s="50">
        <v>10235.36</v>
      </c>
      <c r="H24" s="50">
        <v>2484</v>
      </c>
      <c r="I24" s="50">
        <v>12719.36</v>
      </c>
      <c r="J24" s="50">
        <v>12719.36</v>
      </c>
      <c r="K24" s="120" t="s">
        <v>230</v>
      </c>
    </row>
    <row r="25" spans="1:13">
      <c r="A25" t="s">
        <v>304</v>
      </c>
      <c r="B25" t="s">
        <v>738</v>
      </c>
      <c r="C25" s="105">
        <v>45359</v>
      </c>
      <c r="D25" t="s">
        <v>235</v>
      </c>
      <c r="E25" t="s">
        <v>305</v>
      </c>
      <c r="F25" t="s">
        <v>306</v>
      </c>
      <c r="G25" s="50">
        <v>1128.02</v>
      </c>
      <c r="H25" s="50">
        <v>276</v>
      </c>
      <c r="I25" s="50">
        <v>1404.02</v>
      </c>
      <c r="J25" s="50">
        <v>1404.02</v>
      </c>
      <c r="K25" t="s">
        <v>231</v>
      </c>
    </row>
    <row r="26" spans="1:13">
      <c r="A26" t="s">
        <v>307</v>
      </c>
      <c r="C26" s="105">
        <v>45359</v>
      </c>
      <c r="D26" t="s">
        <v>235</v>
      </c>
      <c r="E26" t="s">
        <v>308</v>
      </c>
      <c r="F26" t="s">
        <v>309</v>
      </c>
      <c r="G26" s="50">
        <v>3673.85</v>
      </c>
      <c r="H26" s="50">
        <v>2124</v>
      </c>
      <c r="I26" s="50">
        <v>5797.85</v>
      </c>
      <c r="J26" s="50">
        <v>5797.85</v>
      </c>
      <c r="K26" t="s">
        <v>230</v>
      </c>
    </row>
    <row r="27" spans="1:13">
      <c r="A27" t="s">
        <v>310</v>
      </c>
      <c r="C27" s="105">
        <v>45360</v>
      </c>
      <c r="D27" t="s">
        <v>235</v>
      </c>
      <c r="E27" t="s">
        <v>311</v>
      </c>
      <c r="F27" t="s">
        <v>312</v>
      </c>
      <c r="G27" s="50">
        <v>3021.35</v>
      </c>
      <c r="H27" s="50">
        <v>240</v>
      </c>
      <c r="I27" s="50">
        <v>3261.35</v>
      </c>
      <c r="J27" s="50">
        <v>3261.35</v>
      </c>
      <c r="K27" t="s">
        <v>231</v>
      </c>
    </row>
    <row r="28" spans="1:13">
      <c r="A28" t="s">
        <v>313</v>
      </c>
      <c r="C28" s="105">
        <v>45365</v>
      </c>
      <c r="D28" t="s">
        <v>235</v>
      </c>
      <c r="E28" t="s">
        <v>314</v>
      </c>
      <c r="F28" t="s">
        <v>315</v>
      </c>
      <c r="G28" s="50">
        <v>2755.2</v>
      </c>
      <c r="H28" s="50">
        <v>2124</v>
      </c>
      <c r="I28" s="50">
        <v>4879.2</v>
      </c>
      <c r="J28" s="50">
        <v>4879.2</v>
      </c>
      <c r="K28" t="s">
        <v>230</v>
      </c>
    </row>
    <row r="29" spans="1:13">
      <c r="A29" t="s">
        <v>316</v>
      </c>
      <c r="C29" s="105">
        <v>45365</v>
      </c>
      <c r="D29" t="s">
        <v>235</v>
      </c>
      <c r="E29" t="s">
        <v>308</v>
      </c>
      <c r="F29" t="s">
        <v>317</v>
      </c>
      <c r="G29" s="50">
        <v>24862.38</v>
      </c>
      <c r="H29" s="50">
        <v>4248</v>
      </c>
      <c r="I29" s="50">
        <v>29110.38</v>
      </c>
      <c r="J29" s="50">
        <v>29110.38</v>
      </c>
      <c r="K29" t="s">
        <v>230</v>
      </c>
    </row>
    <row r="30" spans="1:13">
      <c r="A30" t="s">
        <v>318</v>
      </c>
      <c r="C30" s="105">
        <v>45365</v>
      </c>
      <c r="D30" t="s">
        <v>235</v>
      </c>
      <c r="E30" t="s">
        <v>319</v>
      </c>
      <c r="F30" t="s">
        <v>320</v>
      </c>
      <c r="G30" s="50">
        <v>15330.8</v>
      </c>
      <c r="H30" s="50">
        <v>4452</v>
      </c>
      <c r="I30" s="50">
        <v>19782.8</v>
      </c>
      <c r="J30" s="50">
        <v>19782.8</v>
      </c>
      <c r="K30" t="s">
        <v>230</v>
      </c>
    </row>
    <row r="31" spans="1:13">
      <c r="A31" t="s">
        <v>321</v>
      </c>
      <c r="C31" s="105">
        <v>45369</v>
      </c>
      <c r="D31" t="s">
        <v>235</v>
      </c>
      <c r="E31" t="s">
        <v>322</v>
      </c>
      <c r="F31" t="s">
        <v>323</v>
      </c>
      <c r="G31" s="50">
        <v>13288.38</v>
      </c>
      <c r="H31" s="50">
        <v>4476</v>
      </c>
      <c r="I31" s="50">
        <v>17764.38</v>
      </c>
      <c r="J31" s="50">
        <v>17764.38</v>
      </c>
      <c r="K31" t="s">
        <v>230</v>
      </c>
    </row>
    <row r="32" spans="1:13">
      <c r="A32" t="s">
        <v>324</v>
      </c>
      <c r="C32" s="105">
        <v>45370</v>
      </c>
      <c r="D32" t="s">
        <v>325</v>
      </c>
      <c r="E32" t="s">
        <v>326</v>
      </c>
      <c r="F32" t="s">
        <v>327</v>
      </c>
      <c r="G32" s="50">
        <v>808.08</v>
      </c>
      <c r="H32" s="50">
        <v>276</v>
      </c>
      <c r="I32" s="50">
        <v>1084.0999999999999</v>
      </c>
      <c r="J32" s="50">
        <v>1084.0999999999999</v>
      </c>
      <c r="K32" t="s">
        <v>232</v>
      </c>
      <c r="L32" t="s">
        <v>26</v>
      </c>
      <c r="M32" t="s">
        <v>740</v>
      </c>
    </row>
    <row r="33" spans="1:12">
      <c r="A33" t="s">
        <v>328</v>
      </c>
      <c r="C33" s="105">
        <v>45378</v>
      </c>
      <c r="D33" t="s">
        <v>329</v>
      </c>
      <c r="E33" t="s">
        <v>330</v>
      </c>
      <c r="F33" t="s">
        <v>331</v>
      </c>
      <c r="G33" s="50">
        <v>1879.12</v>
      </c>
      <c r="H33" s="50">
        <v>252</v>
      </c>
      <c r="I33" s="50">
        <v>2131.1</v>
      </c>
      <c r="J33" s="50">
        <v>2131.1</v>
      </c>
      <c r="K33" t="s">
        <v>231</v>
      </c>
      <c r="L33" t="s">
        <v>26</v>
      </c>
    </row>
    <row r="34" spans="1:12" s="109" customFormat="1" ht="15.75" thickBot="1">
      <c r="A34" s="109" t="s">
        <v>332</v>
      </c>
      <c r="C34" s="110">
        <v>45378</v>
      </c>
      <c r="D34" s="109" t="s">
        <v>235</v>
      </c>
      <c r="E34" s="109" t="s">
        <v>333</v>
      </c>
      <c r="F34" s="109" t="s">
        <v>334</v>
      </c>
      <c r="G34" s="111">
        <v>2081.7600000000002</v>
      </c>
      <c r="H34" s="111">
        <v>750</v>
      </c>
      <c r="I34" s="111">
        <v>2831.76</v>
      </c>
      <c r="J34" s="111">
        <v>2831.76</v>
      </c>
      <c r="K34" s="109" t="s">
        <v>231</v>
      </c>
    </row>
    <row r="35" spans="1:12">
      <c r="A35" t="s">
        <v>335</v>
      </c>
      <c r="B35" t="s">
        <v>730</v>
      </c>
      <c r="C35" s="105">
        <v>45386</v>
      </c>
      <c r="D35" t="s">
        <v>235</v>
      </c>
      <c r="E35" t="s">
        <v>336</v>
      </c>
      <c r="F35" t="s">
        <v>337</v>
      </c>
      <c r="G35" s="50">
        <v>2610.75</v>
      </c>
      <c r="H35" s="50">
        <v>240</v>
      </c>
      <c r="I35" s="50">
        <v>2850.75</v>
      </c>
      <c r="J35" s="50">
        <v>2850.75</v>
      </c>
      <c r="K35" t="s">
        <v>231</v>
      </c>
    </row>
    <row r="36" spans="1:12">
      <c r="A36" t="s">
        <v>338</v>
      </c>
      <c r="C36" s="105">
        <v>45397</v>
      </c>
      <c r="D36" t="s">
        <v>235</v>
      </c>
      <c r="E36" t="s">
        <v>339</v>
      </c>
      <c r="F36" t="s">
        <v>340</v>
      </c>
      <c r="G36" s="50">
        <v>2116.7600000000002</v>
      </c>
      <c r="H36" s="50">
        <v>240</v>
      </c>
      <c r="I36" s="50">
        <v>2356.7600000000002</v>
      </c>
      <c r="J36" s="50">
        <v>2356.7600000000002</v>
      </c>
      <c r="K36" t="s">
        <v>231</v>
      </c>
    </row>
    <row r="37" spans="1:12">
      <c r="A37" t="s">
        <v>341</v>
      </c>
      <c r="B37" t="s">
        <v>730</v>
      </c>
      <c r="C37" s="105">
        <v>45398</v>
      </c>
      <c r="D37" t="s">
        <v>235</v>
      </c>
      <c r="E37" t="s">
        <v>342</v>
      </c>
      <c r="F37" t="s">
        <v>343</v>
      </c>
      <c r="G37" s="50">
        <v>3079.1</v>
      </c>
      <c r="H37" s="50">
        <v>2448</v>
      </c>
      <c r="I37" s="50">
        <v>5527.1</v>
      </c>
      <c r="J37" s="50">
        <v>5527.1</v>
      </c>
      <c r="K37" t="s">
        <v>230</v>
      </c>
    </row>
    <row r="38" spans="1:12">
      <c r="A38" t="s">
        <v>344</v>
      </c>
      <c r="C38" s="105">
        <v>45398</v>
      </c>
      <c r="D38" t="s">
        <v>235</v>
      </c>
      <c r="E38" t="s">
        <v>345</v>
      </c>
      <c r="F38" t="s">
        <v>346</v>
      </c>
      <c r="G38" s="50">
        <v>7758.89</v>
      </c>
      <c r="H38" s="50">
        <v>2148</v>
      </c>
      <c r="I38" s="50">
        <v>9906.89</v>
      </c>
      <c r="J38" s="50">
        <v>9906.89</v>
      </c>
      <c r="K38" t="s">
        <v>230</v>
      </c>
    </row>
    <row r="39" spans="1:12">
      <c r="A39" t="s">
        <v>347</v>
      </c>
      <c r="C39" s="105">
        <v>45401</v>
      </c>
      <c r="D39" t="s">
        <v>235</v>
      </c>
      <c r="E39" t="s">
        <v>348</v>
      </c>
      <c r="F39" t="s">
        <v>349</v>
      </c>
      <c r="G39" s="50">
        <v>4897.8500000000004</v>
      </c>
      <c r="H39" s="50">
        <v>2172</v>
      </c>
      <c r="I39" s="50">
        <v>7069.85</v>
      </c>
      <c r="J39" s="50">
        <v>7069.85</v>
      </c>
      <c r="K39" t="s">
        <v>230</v>
      </c>
    </row>
    <row r="40" spans="1:12">
      <c r="A40" t="s">
        <v>350</v>
      </c>
      <c r="C40" s="105">
        <v>45401</v>
      </c>
      <c r="D40" t="s">
        <v>235</v>
      </c>
      <c r="E40" t="s">
        <v>351</v>
      </c>
      <c r="F40" t="s">
        <v>352</v>
      </c>
      <c r="G40" s="50">
        <v>38784.629999999997</v>
      </c>
      <c r="H40" s="50">
        <v>5580</v>
      </c>
      <c r="I40" s="50">
        <v>44364.63</v>
      </c>
      <c r="J40" s="50">
        <v>44364.63</v>
      </c>
      <c r="K40" t="s">
        <v>230</v>
      </c>
    </row>
    <row r="41" spans="1:12">
      <c r="A41" t="s">
        <v>353</v>
      </c>
      <c r="C41" s="105">
        <v>45401</v>
      </c>
      <c r="D41" t="s">
        <v>235</v>
      </c>
      <c r="E41" t="s">
        <v>354</v>
      </c>
      <c r="F41" t="s">
        <v>355</v>
      </c>
      <c r="G41" s="50">
        <v>20831.93</v>
      </c>
      <c r="H41" s="50">
        <v>6024</v>
      </c>
      <c r="I41" s="50">
        <v>26855.93</v>
      </c>
      <c r="J41" s="50">
        <v>26855.93</v>
      </c>
      <c r="K41" t="s">
        <v>230</v>
      </c>
    </row>
    <row r="42" spans="1:12">
      <c r="A42" t="s">
        <v>356</v>
      </c>
      <c r="C42" s="105">
        <v>45401</v>
      </c>
      <c r="D42" t="s">
        <v>235</v>
      </c>
      <c r="E42" t="s">
        <v>357</v>
      </c>
      <c r="F42" t="s">
        <v>358</v>
      </c>
      <c r="G42" s="50">
        <v>1084.67</v>
      </c>
      <c r="H42" s="50">
        <v>228</v>
      </c>
      <c r="I42" s="50">
        <v>1312.67</v>
      </c>
      <c r="J42" s="50">
        <v>1312.67</v>
      </c>
      <c r="K42" t="s">
        <v>231</v>
      </c>
    </row>
    <row r="43" spans="1:12">
      <c r="A43" t="s">
        <v>359</v>
      </c>
      <c r="C43" s="105">
        <v>45406</v>
      </c>
      <c r="D43" t="s">
        <v>235</v>
      </c>
      <c r="E43" t="s">
        <v>360</v>
      </c>
      <c r="F43" t="s">
        <v>361</v>
      </c>
      <c r="G43" s="50">
        <v>2609.0500000000002</v>
      </c>
      <c r="H43" s="50">
        <v>240</v>
      </c>
      <c r="I43" s="50">
        <v>2849.05</v>
      </c>
      <c r="J43" s="50">
        <v>2849.05</v>
      </c>
      <c r="K43" t="s">
        <v>231</v>
      </c>
    </row>
    <row r="44" spans="1:12">
      <c r="A44" t="s">
        <v>362</v>
      </c>
      <c r="C44" s="105">
        <v>45406</v>
      </c>
      <c r="D44" t="s">
        <v>235</v>
      </c>
      <c r="E44" t="s">
        <v>363</v>
      </c>
      <c r="F44" t="s">
        <v>364</v>
      </c>
      <c r="G44" s="50">
        <v>1660.95</v>
      </c>
      <c r="H44" s="50">
        <v>240</v>
      </c>
      <c r="I44" s="50">
        <v>1900.95</v>
      </c>
      <c r="J44" s="50">
        <v>1900.95</v>
      </c>
      <c r="K44" t="s">
        <v>231</v>
      </c>
    </row>
    <row r="45" spans="1:12" s="106" customFormat="1">
      <c r="A45" s="106" t="s">
        <v>365</v>
      </c>
      <c r="C45" s="107">
        <v>45406</v>
      </c>
      <c r="D45" s="106" t="s">
        <v>235</v>
      </c>
      <c r="E45" s="106" t="s">
        <v>366</v>
      </c>
      <c r="F45" s="106" t="s">
        <v>367</v>
      </c>
      <c r="G45" s="108">
        <v>171.8</v>
      </c>
      <c r="H45" s="108">
        <v>972</v>
      </c>
      <c r="I45" s="108">
        <v>0</v>
      </c>
      <c r="J45" s="108">
        <v>1143.8</v>
      </c>
      <c r="K45" s="106" t="s">
        <v>263</v>
      </c>
    </row>
    <row r="46" spans="1:12">
      <c r="A46" t="s">
        <v>368</v>
      </c>
      <c r="C46" s="105">
        <v>45406</v>
      </c>
      <c r="D46" t="s">
        <v>235</v>
      </c>
      <c r="E46" t="s">
        <v>369</v>
      </c>
      <c r="F46" t="s">
        <v>370</v>
      </c>
      <c r="G46" s="50">
        <v>1793.95</v>
      </c>
      <c r="H46" s="50">
        <v>240</v>
      </c>
      <c r="I46" s="50">
        <v>2033.95</v>
      </c>
      <c r="J46" s="50">
        <v>2033.95</v>
      </c>
      <c r="K46" t="s">
        <v>231</v>
      </c>
    </row>
    <row r="47" spans="1:12" s="121" customFormat="1">
      <c r="A47" s="121" t="s">
        <v>371</v>
      </c>
      <c r="C47" s="122">
        <v>45406</v>
      </c>
      <c r="D47" s="121" t="s">
        <v>235</v>
      </c>
      <c r="E47" s="121" t="s">
        <v>366</v>
      </c>
      <c r="F47" s="121" t="s">
        <v>367</v>
      </c>
      <c r="G47" s="123">
        <v>171.8</v>
      </c>
      <c r="H47" s="123">
        <v>900</v>
      </c>
      <c r="I47" s="123">
        <v>1071.8</v>
      </c>
      <c r="J47" s="123">
        <v>1071.8</v>
      </c>
      <c r="K47" s="121" t="s">
        <v>230</v>
      </c>
    </row>
    <row r="48" spans="1:12">
      <c r="A48" t="s">
        <v>372</v>
      </c>
      <c r="C48" s="105">
        <v>45408</v>
      </c>
      <c r="D48" t="s">
        <v>235</v>
      </c>
      <c r="E48" t="s">
        <v>373</v>
      </c>
      <c r="F48" t="s">
        <v>374</v>
      </c>
      <c r="G48" s="50">
        <v>80</v>
      </c>
      <c r="H48" s="50">
        <v>230</v>
      </c>
      <c r="I48" s="50">
        <v>310</v>
      </c>
      <c r="J48" s="50">
        <v>310</v>
      </c>
      <c r="K48" t="s">
        <v>232</v>
      </c>
      <c r="L48" t="s">
        <v>726</v>
      </c>
    </row>
    <row r="49" spans="1:12">
      <c r="A49" t="s">
        <v>375</v>
      </c>
      <c r="C49" s="105">
        <v>45408</v>
      </c>
      <c r="D49" t="s">
        <v>235</v>
      </c>
      <c r="E49" t="s">
        <v>376</v>
      </c>
      <c r="F49" t="s">
        <v>377</v>
      </c>
      <c r="G49" s="50">
        <v>50</v>
      </c>
      <c r="H49" s="50">
        <v>150</v>
      </c>
      <c r="I49" s="50">
        <v>200</v>
      </c>
      <c r="J49" s="50">
        <v>200</v>
      </c>
      <c r="K49" t="s">
        <v>232</v>
      </c>
      <c r="L49" t="s">
        <v>726</v>
      </c>
    </row>
    <row r="50" spans="1:12">
      <c r="A50" t="s">
        <v>378</v>
      </c>
      <c r="C50" s="105">
        <v>45408</v>
      </c>
      <c r="D50" t="s">
        <v>235</v>
      </c>
      <c r="E50" t="s">
        <v>379</v>
      </c>
      <c r="F50" t="s">
        <v>380</v>
      </c>
      <c r="G50" s="50">
        <v>80</v>
      </c>
      <c r="H50" s="50">
        <v>230</v>
      </c>
      <c r="I50" s="50">
        <v>310</v>
      </c>
      <c r="J50" s="50">
        <v>310</v>
      </c>
      <c r="K50" t="s">
        <v>232</v>
      </c>
      <c r="L50" t="s">
        <v>726</v>
      </c>
    </row>
    <row r="51" spans="1:12">
      <c r="A51" t="s">
        <v>381</v>
      </c>
      <c r="C51" s="105">
        <v>45408</v>
      </c>
      <c r="D51" t="s">
        <v>235</v>
      </c>
      <c r="E51" t="s">
        <v>382</v>
      </c>
      <c r="F51" t="s">
        <v>383</v>
      </c>
      <c r="G51" s="50">
        <v>80</v>
      </c>
      <c r="H51" s="50">
        <v>230</v>
      </c>
      <c r="I51" s="50">
        <v>310</v>
      </c>
      <c r="J51" s="50">
        <v>310</v>
      </c>
      <c r="K51" t="s">
        <v>232</v>
      </c>
      <c r="L51" t="s">
        <v>726</v>
      </c>
    </row>
    <row r="52" spans="1:12" s="109" customFormat="1" ht="15.75" thickBot="1">
      <c r="A52" s="109" t="s">
        <v>384</v>
      </c>
      <c r="C52" s="110">
        <v>45411</v>
      </c>
      <c r="D52" s="109" t="s">
        <v>235</v>
      </c>
      <c r="E52" s="109" t="s">
        <v>385</v>
      </c>
      <c r="F52" s="109" t="s">
        <v>386</v>
      </c>
      <c r="G52" s="111">
        <v>6592.15</v>
      </c>
      <c r="H52" s="111">
        <v>3456</v>
      </c>
      <c r="I52" s="111">
        <v>10048.15</v>
      </c>
      <c r="J52" s="111">
        <v>10048.15</v>
      </c>
      <c r="K52" s="109" t="s">
        <v>230</v>
      </c>
    </row>
    <row r="53" spans="1:12">
      <c r="A53" t="s">
        <v>387</v>
      </c>
      <c r="B53" t="s">
        <v>731</v>
      </c>
      <c r="C53" s="105">
        <v>45418</v>
      </c>
      <c r="D53" t="s">
        <v>235</v>
      </c>
      <c r="E53" t="s">
        <v>385</v>
      </c>
      <c r="F53" t="s">
        <v>388</v>
      </c>
      <c r="G53" s="50">
        <v>47.5</v>
      </c>
      <c r="H53" s="50"/>
      <c r="I53" s="50">
        <v>47.5</v>
      </c>
      <c r="J53" s="50">
        <v>47.5</v>
      </c>
      <c r="K53" t="s">
        <v>230</v>
      </c>
    </row>
    <row r="54" spans="1:12">
      <c r="A54" t="s">
        <v>389</v>
      </c>
      <c r="C54" s="105">
        <v>45422</v>
      </c>
      <c r="D54" t="s">
        <v>235</v>
      </c>
      <c r="E54" t="s">
        <v>390</v>
      </c>
      <c r="F54" t="s">
        <v>391</v>
      </c>
      <c r="G54" s="50">
        <v>11817.05</v>
      </c>
      <c r="H54" s="50">
        <v>5244</v>
      </c>
      <c r="I54" s="50">
        <v>17061.05</v>
      </c>
      <c r="J54" s="50">
        <v>17061.05</v>
      </c>
      <c r="K54" t="s">
        <v>230</v>
      </c>
    </row>
    <row r="55" spans="1:12">
      <c r="A55" t="s">
        <v>392</v>
      </c>
      <c r="C55" s="105">
        <v>45423</v>
      </c>
      <c r="D55" t="s">
        <v>235</v>
      </c>
      <c r="E55" t="s">
        <v>393</v>
      </c>
      <c r="F55" t="s">
        <v>394</v>
      </c>
      <c r="G55" s="50">
        <v>4903.2</v>
      </c>
      <c r="H55" s="50">
        <v>2940</v>
      </c>
      <c r="I55" s="50">
        <v>7843.2</v>
      </c>
      <c r="J55" s="50">
        <v>7843.2</v>
      </c>
      <c r="K55" t="s">
        <v>230</v>
      </c>
    </row>
    <row r="56" spans="1:12">
      <c r="A56" t="s">
        <v>395</v>
      </c>
      <c r="C56" s="105">
        <v>45427</v>
      </c>
      <c r="D56" t="s">
        <v>235</v>
      </c>
      <c r="E56" t="s">
        <v>258</v>
      </c>
      <c r="F56" t="s">
        <v>396</v>
      </c>
      <c r="G56" s="50">
        <v>5360.01</v>
      </c>
      <c r="H56" s="50"/>
      <c r="I56" s="50">
        <v>5360.01</v>
      </c>
      <c r="J56" s="50">
        <v>5360.01</v>
      </c>
      <c r="K56" t="s">
        <v>230</v>
      </c>
    </row>
    <row r="57" spans="1:12">
      <c r="A57" t="s">
        <v>397</v>
      </c>
      <c r="C57" s="105">
        <v>45428</v>
      </c>
      <c r="D57" t="s">
        <v>235</v>
      </c>
      <c r="E57" t="s">
        <v>398</v>
      </c>
      <c r="F57" t="s">
        <v>399</v>
      </c>
      <c r="G57" s="50">
        <v>80</v>
      </c>
      <c r="H57" s="50">
        <v>230</v>
      </c>
      <c r="I57" s="50">
        <v>310</v>
      </c>
      <c r="J57" s="50">
        <v>310</v>
      </c>
      <c r="K57" t="s">
        <v>232</v>
      </c>
      <c r="L57" t="s">
        <v>726</v>
      </c>
    </row>
    <row r="58" spans="1:12">
      <c r="A58" t="s">
        <v>400</v>
      </c>
      <c r="C58" s="105">
        <v>45429</v>
      </c>
      <c r="D58" t="s">
        <v>235</v>
      </c>
      <c r="E58" t="s">
        <v>401</v>
      </c>
      <c r="F58" t="s">
        <v>402</v>
      </c>
      <c r="G58" s="50">
        <v>80</v>
      </c>
      <c r="H58" s="50">
        <v>230</v>
      </c>
      <c r="I58" s="50">
        <v>310</v>
      </c>
      <c r="J58" s="50">
        <v>310</v>
      </c>
      <c r="K58" t="s">
        <v>232</v>
      </c>
      <c r="L58" t="s">
        <v>726</v>
      </c>
    </row>
    <row r="59" spans="1:12">
      <c r="A59" t="s">
        <v>403</v>
      </c>
      <c r="C59" s="105">
        <v>45430</v>
      </c>
      <c r="D59" t="s">
        <v>235</v>
      </c>
      <c r="E59" t="s">
        <v>404</v>
      </c>
      <c r="F59" t="s">
        <v>405</v>
      </c>
      <c r="G59" s="50">
        <v>80</v>
      </c>
      <c r="H59" s="50">
        <v>230</v>
      </c>
      <c r="I59" s="50">
        <v>310</v>
      </c>
      <c r="J59" s="50">
        <v>310</v>
      </c>
      <c r="K59" t="s">
        <v>232</v>
      </c>
      <c r="L59" t="s">
        <v>726</v>
      </c>
    </row>
    <row r="60" spans="1:12">
      <c r="A60" t="s">
        <v>406</v>
      </c>
      <c r="C60" s="105">
        <v>45430</v>
      </c>
      <c r="D60" t="s">
        <v>235</v>
      </c>
      <c r="E60" t="s">
        <v>407</v>
      </c>
      <c r="F60" t="s">
        <v>408</v>
      </c>
      <c r="G60" s="50">
        <v>80</v>
      </c>
      <c r="H60" s="50">
        <v>230</v>
      </c>
      <c r="I60" s="50">
        <v>310</v>
      </c>
      <c r="J60" s="50">
        <v>310</v>
      </c>
      <c r="K60" t="s">
        <v>232</v>
      </c>
      <c r="L60" t="s">
        <v>726</v>
      </c>
    </row>
    <row r="61" spans="1:12">
      <c r="A61" t="s">
        <v>409</v>
      </c>
      <c r="C61" s="105">
        <v>45433</v>
      </c>
      <c r="D61" t="s">
        <v>235</v>
      </c>
      <c r="E61" t="s">
        <v>410</v>
      </c>
      <c r="F61" t="s">
        <v>411</v>
      </c>
      <c r="G61" s="50">
        <v>4517.17</v>
      </c>
      <c r="H61" s="50">
        <v>2124</v>
      </c>
      <c r="I61" s="50">
        <v>6641.17</v>
      </c>
      <c r="J61" s="50">
        <v>6641.17</v>
      </c>
      <c r="K61" t="s">
        <v>230</v>
      </c>
    </row>
    <row r="62" spans="1:12">
      <c r="A62" t="s">
        <v>412</v>
      </c>
      <c r="C62" s="105">
        <v>45433</v>
      </c>
      <c r="D62" t="s">
        <v>235</v>
      </c>
      <c r="E62" t="s">
        <v>413</v>
      </c>
      <c r="F62" t="s">
        <v>414</v>
      </c>
      <c r="G62" s="50">
        <v>1153.8499999999999</v>
      </c>
      <c r="H62" s="50">
        <v>252</v>
      </c>
      <c r="I62" s="50">
        <v>1405.85</v>
      </c>
      <c r="J62" s="50">
        <v>1405.85</v>
      </c>
      <c r="K62" t="s">
        <v>232</v>
      </c>
      <c r="L62" t="s">
        <v>726</v>
      </c>
    </row>
    <row r="63" spans="1:12">
      <c r="A63" t="s">
        <v>415</v>
      </c>
      <c r="C63" s="105">
        <v>45436</v>
      </c>
      <c r="D63" t="s">
        <v>235</v>
      </c>
      <c r="E63" t="s">
        <v>416</v>
      </c>
      <c r="F63" t="s">
        <v>417</v>
      </c>
      <c r="G63" s="50">
        <v>3096.63</v>
      </c>
      <c r="H63" s="50">
        <v>1452</v>
      </c>
      <c r="I63" s="50">
        <v>4548.63</v>
      </c>
      <c r="J63" s="50">
        <v>4548.63</v>
      </c>
      <c r="K63" t="s">
        <v>230</v>
      </c>
    </row>
    <row r="64" spans="1:12">
      <c r="A64" t="s">
        <v>418</v>
      </c>
      <c r="C64" s="105">
        <v>45436</v>
      </c>
      <c r="D64" t="s">
        <v>235</v>
      </c>
      <c r="E64" t="s">
        <v>419</v>
      </c>
      <c r="F64" t="s">
        <v>420</v>
      </c>
      <c r="G64" s="50">
        <v>1351.98</v>
      </c>
      <c r="H64" s="50">
        <v>3864</v>
      </c>
      <c r="I64" s="50">
        <v>5215.9799999999996</v>
      </c>
      <c r="J64" s="50">
        <v>5215.9799999999996</v>
      </c>
      <c r="K64" t="s">
        <v>230</v>
      </c>
    </row>
    <row r="65" spans="1:12">
      <c r="A65" t="s">
        <v>421</v>
      </c>
      <c r="C65" s="105">
        <v>45436</v>
      </c>
      <c r="D65" t="s">
        <v>235</v>
      </c>
      <c r="E65" t="s">
        <v>422</v>
      </c>
      <c r="F65" t="s">
        <v>423</v>
      </c>
      <c r="G65" s="50">
        <v>3263.71</v>
      </c>
      <c r="H65" s="50">
        <v>2628</v>
      </c>
      <c r="I65" s="50">
        <v>5891.71</v>
      </c>
      <c r="J65" s="50">
        <v>5891.71</v>
      </c>
      <c r="K65" t="s">
        <v>230</v>
      </c>
    </row>
    <row r="66" spans="1:12">
      <c r="A66" t="s">
        <v>424</v>
      </c>
      <c r="C66" s="105">
        <v>45436</v>
      </c>
      <c r="D66" t="s">
        <v>235</v>
      </c>
      <c r="E66" t="s">
        <v>425</v>
      </c>
      <c r="F66" t="s">
        <v>426</v>
      </c>
      <c r="G66" s="50">
        <v>4785.1400000000003</v>
      </c>
      <c r="H66" s="50">
        <v>4260</v>
      </c>
      <c r="I66" s="50">
        <v>9045.14</v>
      </c>
      <c r="J66" s="50">
        <v>9045.14</v>
      </c>
      <c r="K66" t="s">
        <v>230</v>
      </c>
    </row>
    <row r="67" spans="1:12">
      <c r="A67" t="s">
        <v>427</v>
      </c>
      <c r="B67" t="s">
        <v>731</v>
      </c>
      <c r="C67" s="105">
        <v>45437</v>
      </c>
      <c r="D67" t="s">
        <v>235</v>
      </c>
      <c r="E67" t="s">
        <v>428</v>
      </c>
      <c r="F67" t="s">
        <v>429</v>
      </c>
      <c r="G67" s="50">
        <v>1316.85</v>
      </c>
      <c r="H67" s="50">
        <v>168</v>
      </c>
      <c r="I67" s="50">
        <v>1484.85</v>
      </c>
      <c r="J67" s="50">
        <v>1484.85</v>
      </c>
      <c r="K67" t="s">
        <v>231</v>
      </c>
    </row>
    <row r="68" spans="1:12">
      <c r="A68" t="s">
        <v>430</v>
      </c>
      <c r="C68" s="105">
        <v>45441</v>
      </c>
      <c r="D68" t="s">
        <v>235</v>
      </c>
      <c r="E68" t="s">
        <v>431</v>
      </c>
      <c r="F68" t="s">
        <v>432</v>
      </c>
      <c r="G68" s="50">
        <v>1698.02</v>
      </c>
      <c r="H68" s="50">
        <v>276</v>
      </c>
      <c r="I68" s="50">
        <v>1974.02</v>
      </c>
      <c r="J68" s="50">
        <v>1974.02</v>
      </c>
      <c r="K68" t="s">
        <v>231</v>
      </c>
    </row>
    <row r="69" spans="1:12">
      <c r="A69" t="s">
        <v>433</v>
      </c>
      <c r="C69" s="105">
        <v>45441</v>
      </c>
      <c r="D69" t="s">
        <v>235</v>
      </c>
      <c r="E69" t="s">
        <v>434</v>
      </c>
      <c r="F69" t="s">
        <v>435</v>
      </c>
      <c r="G69" s="50">
        <v>44767.21</v>
      </c>
      <c r="H69" s="50">
        <v>4188</v>
      </c>
      <c r="I69" s="50">
        <v>48955.21</v>
      </c>
      <c r="J69" s="50">
        <v>48955.21</v>
      </c>
      <c r="K69" t="s">
        <v>230</v>
      </c>
    </row>
    <row r="70" spans="1:12">
      <c r="A70" t="s">
        <v>436</v>
      </c>
      <c r="C70" s="105">
        <v>45443</v>
      </c>
      <c r="D70" t="s">
        <v>235</v>
      </c>
      <c r="E70" t="s">
        <v>437</v>
      </c>
      <c r="F70" t="s">
        <v>438</v>
      </c>
      <c r="G70" s="50">
        <v>1603.02</v>
      </c>
      <c r="H70" s="50">
        <v>276</v>
      </c>
      <c r="I70" s="50">
        <v>1879.02</v>
      </c>
      <c r="J70" s="50">
        <v>1879.02</v>
      </c>
      <c r="K70" t="s">
        <v>231</v>
      </c>
    </row>
    <row r="71" spans="1:12" s="109" customFormat="1" ht="15.75" thickBot="1">
      <c r="A71" s="109" t="s">
        <v>439</v>
      </c>
      <c r="C71" s="110">
        <v>45443</v>
      </c>
      <c r="D71" s="109" t="s">
        <v>235</v>
      </c>
      <c r="E71" s="109" t="s">
        <v>440</v>
      </c>
      <c r="F71" s="109" t="s">
        <v>441</v>
      </c>
      <c r="G71" s="111">
        <v>60</v>
      </c>
      <c r="H71" s="111"/>
      <c r="I71" s="111">
        <v>60</v>
      </c>
      <c r="J71" s="111">
        <v>60</v>
      </c>
      <c r="K71" s="109" t="s">
        <v>232</v>
      </c>
      <c r="L71" s="109" t="s">
        <v>726</v>
      </c>
    </row>
    <row r="72" spans="1:12">
      <c r="A72" t="s">
        <v>442</v>
      </c>
      <c r="B72" t="s">
        <v>732</v>
      </c>
      <c r="C72" s="105">
        <v>45444</v>
      </c>
      <c r="D72" t="s">
        <v>235</v>
      </c>
      <c r="E72" t="s">
        <v>443</v>
      </c>
      <c r="F72" t="s">
        <v>444</v>
      </c>
      <c r="G72" s="50">
        <v>4062.59</v>
      </c>
      <c r="H72" s="50">
        <v>2124</v>
      </c>
      <c r="I72" s="50">
        <v>6186.59</v>
      </c>
      <c r="J72" s="50">
        <v>6186.59</v>
      </c>
      <c r="K72" t="s">
        <v>230</v>
      </c>
    </row>
    <row r="73" spans="1:12">
      <c r="A73" t="s">
        <v>445</v>
      </c>
      <c r="C73" s="105">
        <v>45444</v>
      </c>
      <c r="D73" t="s">
        <v>235</v>
      </c>
      <c r="E73" t="s">
        <v>446</v>
      </c>
      <c r="F73" t="s">
        <v>447</v>
      </c>
      <c r="G73" s="50">
        <v>5969.73</v>
      </c>
      <c r="H73" s="50">
        <v>1740</v>
      </c>
      <c r="I73" s="50">
        <v>7709.73</v>
      </c>
      <c r="J73" s="50">
        <v>7709.73</v>
      </c>
      <c r="K73" t="s">
        <v>230</v>
      </c>
    </row>
    <row r="74" spans="1:12">
      <c r="A74" t="s">
        <v>448</v>
      </c>
      <c r="C74" s="105">
        <v>45444</v>
      </c>
      <c r="D74" t="s">
        <v>235</v>
      </c>
      <c r="E74" t="s">
        <v>449</v>
      </c>
      <c r="F74" t="s">
        <v>450</v>
      </c>
      <c r="G74" s="50">
        <v>2038.91</v>
      </c>
      <c r="H74" s="50">
        <v>2616</v>
      </c>
      <c r="I74" s="50">
        <v>4654.91</v>
      </c>
      <c r="J74" s="50">
        <v>4654.91</v>
      </c>
      <c r="K74" t="s">
        <v>230</v>
      </c>
    </row>
    <row r="75" spans="1:12">
      <c r="A75" t="s">
        <v>451</v>
      </c>
      <c r="B75" t="s">
        <v>732</v>
      </c>
      <c r="C75" s="105">
        <v>45451</v>
      </c>
      <c r="D75" t="s">
        <v>235</v>
      </c>
      <c r="E75" t="s">
        <v>452</v>
      </c>
      <c r="F75" t="s">
        <v>453</v>
      </c>
      <c r="G75" s="50">
        <v>2404.1999999999998</v>
      </c>
      <c r="H75" s="50">
        <v>252</v>
      </c>
      <c r="I75" s="50">
        <v>2656.2</v>
      </c>
      <c r="J75" s="50">
        <v>2656.2</v>
      </c>
      <c r="K75" t="s">
        <v>231</v>
      </c>
    </row>
    <row r="76" spans="1:12">
      <c r="A76" t="s">
        <v>454</v>
      </c>
      <c r="C76" s="105">
        <v>45457</v>
      </c>
      <c r="D76" t="s">
        <v>235</v>
      </c>
      <c r="E76" t="s">
        <v>455</v>
      </c>
      <c r="F76" t="s">
        <v>456</v>
      </c>
      <c r="G76" s="50">
        <v>190.65</v>
      </c>
      <c r="H76" s="50">
        <v>120</v>
      </c>
      <c r="I76" s="50">
        <v>310.64999999999998</v>
      </c>
      <c r="J76" s="50">
        <v>310.64999999999998</v>
      </c>
      <c r="K76" t="s">
        <v>231</v>
      </c>
    </row>
    <row r="77" spans="1:12">
      <c r="A77" t="s">
        <v>457</v>
      </c>
      <c r="C77" s="105">
        <v>45462</v>
      </c>
      <c r="D77" t="s">
        <v>235</v>
      </c>
      <c r="E77" t="s">
        <v>458</v>
      </c>
      <c r="F77" t="s">
        <v>459</v>
      </c>
      <c r="G77" s="50">
        <v>1603.02</v>
      </c>
      <c r="H77" s="50">
        <v>276</v>
      </c>
      <c r="I77" s="50">
        <v>1879.02</v>
      </c>
      <c r="J77" s="50">
        <v>1879.02</v>
      </c>
      <c r="K77" t="s">
        <v>231</v>
      </c>
    </row>
    <row r="78" spans="1:12">
      <c r="A78" t="s">
        <v>460</v>
      </c>
      <c r="C78" s="105">
        <v>45469</v>
      </c>
      <c r="D78" t="s">
        <v>235</v>
      </c>
      <c r="E78" t="s">
        <v>461</v>
      </c>
      <c r="F78" t="s">
        <v>462</v>
      </c>
      <c r="G78" s="50">
        <v>2116.7600000000002</v>
      </c>
      <c r="H78" s="50">
        <v>240</v>
      </c>
      <c r="I78" s="50">
        <v>2356.7600000000002</v>
      </c>
      <c r="J78" s="50">
        <v>2356.7600000000002</v>
      </c>
      <c r="K78" t="s">
        <v>231</v>
      </c>
    </row>
    <row r="79" spans="1:12">
      <c r="A79" t="s">
        <v>463</v>
      </c>
      <c r="C79" s="105">
        <v>45470</v>
      </c>
      <c r="D79" t="s">
        <v>235</v>
      </c>
      <c r="E79" t="s">
        <v>464</v>
      </c>
      <c r="F79" t="s">
        <v>465</v>
      </c>
      <c r="G79" s="50">
        <v>2428.02</v>
      </c>
      <c r="H79" s="50">
        <v>276</v>
      </c>
      <c r="I79" s="50">
        <v>2704.02</v>
      </c>
      <c r="J79" s="50">
        <v>2704.02</v>
      </c>
      <c r="K79" t="s">
        <v>231</v>
      </c>
    </row>
    <row r="80" spans="1:12">
      <c r="A80" t="s">
        <v>466</v>
      </c>
      <c r="C80" s="105">
        <v>45470</v>
      </c>
      <c r="D80" t="s">
        <v>467</v>
      </c>
      <c r="E80" t="s">
        <v>468</v>
      </c>
      <c r="F80" t="s">
        <v>469</v>
      </c>
      <c r="G80" s="79">
        <v>349.5</v>
      </c>
      <c r="H80" s="79">
        <v>1179.3599999999999</v>
      </c>
      <c r="I80" s="79">
        <v>1528.86</v>
      </c>
      <c r="J80" s="79">
        <v>1528.86</v>
      </c>
      <c r="K80" t="s">
        <v>230</v>
      </c>
      <c r="L80" t="s">
        <v>26</v>
      </c>
    </row>
    <row r="81" spans="1:11">
      <c r="A81" t="s">
        <v>470</v>
      </c>
      <c r="C81" s="105">
        <v>45470</v>
      </c>
      <c r="D81" t="s">
        <v>235</v>
      </c>
      <c r="E81" t="s">
        <v>468</v>
      </c>
      <c r="F81" t="s">
        <v>471</v>
      </c>
      <c r="G81" s="50">
        <v>23069.15</v>
      </c>
      <c r="H81" s="50">
        <v>6912</v>
      </c>
      <c r="I81" s="50">
        <v>29981.15</v>
      </c>
      <c r="J81" s="50">
        <v>29981.15</v>
      </c>
      <c r="K81" t="s">
        <v>230</v>
      </c>
    </row>
    <row r="82" spans="1:11" s="109" customFormat="1" ht="15.75" thickBot="1">
      <c r="A82" s="109" t="s">
        <v>472</v>
      </c>
      <c r="C82" s="110">
        <v>45470</v>
      </c>
      <c r="D82" s="109" t="s">
        <v>235</v>
      </c>
      <c r="E82" s="109" t="s">
        <v>473</v>
      </c>
      <c r="F82" s="109" t="s">
        <v>474</v>
      </c>
      <c r="G82" s="111">
        <v>30933.13</v>
      </c>
      <c r="H82" s="111">
        <v>4680</v>
      </c>
      <c r="I82" s="111">
        <v>35613.129999999997</v>
      </c>
      <c r="J82" s="111">
        <v>35613.129999999997</v>
      </c>
      <c r="K82" s="109" t="s">
        <v>230</v>
      </c>
    </row>
    <row r="83" spans="1:11">
      <c r="A83" t="s">
        <v>475</v>
      </c>
      <c r="B83" t="s">
        <v>13</v>
      </c>
      <c r="C83" s="105">
        <v>45482</v>
      </c>
      <c r="D83" t="s">
        <v>235</v>
      </c>
      <c r="E83" t="s">
        <v>476</v>
      </c>
      <c r="F83" t="s">
        <v>477</v>
      </c>
      <c r="G83" s="50">
        <v>12698.71</v>
      </c>
      <c r="H83" s="50">
        <v>6060</v>
      </c>
      <c r="I83" s="50">
        <v>18758.71</v>
      </c>
      <c r="J83" s="50">
        <v>18758.71</v>
      </c>
      <c r="K83" t="s">
        <v>230</v>
      </c>
    </row>
    <row r="84" spans="1:11">
      <c r="A84" t="s">
        <v>478</v>
      </c>
      <c r="C84" s="105">
        <v>45475</v>
      </c>
      <c r="D84" t="s">
        <v>235</v>
      </c>
      <c r="E84" t="s">
        <v>479</v>
      </c>
      <c r="F84" t="s">
        <v>480</v>
      </c>
      <c r="G84" s="50">
        <v>12873.75</v>
      </c>
      <c r="H84" s="50">
        <v>4512</v>
      </c>
      <c r="I84" s="50">
        <v>17385.75</v>
      </c>
      <c r="J84" s="50">
        <v>17385.75</v>
      </c>
      <c r="K84" t="s">
        <v>230</v>
      </c>
    </row>
    <row r="85" spans="1:11">
      <c r="A85" t="s">
        <v>481</v>
      </c>
      <c r="C85" s="105">
        <v>45477</v>
      </c>
      <c r="D85" t="s">
        <v>235</v>
      </c>
      <c r="E85" t="s">
        <v>482</v>
      </c>
      <c r="F85" t="s">
        <v>483</v>
      </c>
      <c r="G85" s="50">
        <v>4499.32</v>
      </c>
      <c r="H85" s="50">
        <v>1776</v>
      </c>
      <c r="I85" s="50">
        <v>6275.32</v>
      </c>
      <c r="J85" s="50">
        <v>6275.32</v>
      </c>
      <c r="K85" t="s">
        <v>230</v>
      </c>
    </row>
    <row r="86" spans="1:11">
      <c r="A86" t="s">
        <v>484</v>
      </c>
      <c r="C86" s="105">
        <v>45477</v>
      </c>
      <c r="D86" t="s">
        <v>235</v>
      </c>
      <c r="E86" t="s">
        <v>485</v>
      </c>
      <c r="F86" t="s">
        <v>486</v>
      </c>
      <c r="G86" s="50">
        <v>27652.45</v>
      </c>
      <c r="H86" s="50">
        <v>4620</v>
      </c>
      <c r="I86" s="50">
        <v>32272.45</v>
      </c>
      <c r="J86" s="50">
        <v>32272.45</v>
      </c>
      <c r="K86" t="s">
        <v>230</v>
      </c>
    </row>
    <row r="87" spans="1:11">
      <c r="A87" t="s">
        <v>487</v>
      </c>
      <c r="C87" s="105">
        <v>45478</v>
      </c>
      <c r="D87" t="s">
        <v>235</v>
      </c>
      <c r="E87" t="s">
        <v>488</v>
      </c>
      <c r="F87" t="s">
        <v>489</v>
      </c>
      <c r="G87" s="50">
        <v>42314.69</v>
      </c>
      <c r="H87" s="50">
        <v>10800</v>
      </c>
      <c r="I87" s="50">
        <v>53114.69</v>
      </c>
      <c r="J87" s="50">
        <v>53114.69</v>
      </c>
      <c r="K87" t="s">
        <v>230</v>
      </c>
    </row>
    <row r="88" spans="1:11">
      <c r="A88" t="s">
        <v>490</v>
      </c>
      <c r="B88" t="s">
        <v>13</v>
      </c>
      <c r="C88" s="105">
        <v>45484</v>
      </c>
      <c r="D88" t="s">
        <v>235</v>
      </c>
      <c r="E88" t="s">
        <v>491</v>
      </c>
      <c r="F88" t="s">
        <v>492</v>
      </c>
      <c r="G88" s="50">
        <v>126.05</v>
      </c>
      <c r="H88" s="50">
        <v>120</v>
      </c>
      <c r="I88" s="50">
        <v>246.05</v>
      </c>
      <c r="J88" s="50">
        <v>246.05</v>
      </c>
      <c r="K88" t="s">
        <v>231</v>
      </c>
    </row>
    <row r="89" spans="1:11">
      <c r="A89" t="s">
        <v>493</v>
      </c>
      <c r="C89" s="105">
        <v>45489</v>
      </c>
      <c r="D89" t="s">
        <v>235</v>
      </c>
      <c r="E89" t="s">
        <v>494</v>
      </c>
      <c r="F89" t="s">
        <v>495</v>
      </c>
      <c r="G89" s="50">
        <v>10611.41</v>
      </c>
      <c r="H89" s="50">
        <v>1371</v>
      </c>
      <c r="I89" s="50">
        <v>11982.41</v>
      </c>
      <c r="J89" s="50">
        <v>11982.41</v>
      </c>
      <c r="K89" t="s">
        <v>230</v>
      </c>
    </row>
    <row r="90" spans="1:11">
      <c r="A90" t="s">
        <v>496</v>
      </c>
      <c r="C90" s="105">
        <v>45491</v>
      </c>
      <c r="D90" t="s">
        <v>497</v>
      </c>
      <c r="E90" t="s">
        <v>498</v>
      </c>
      <c r="F90" t="s">
        <v>499</v>
      </c>
      <c r="G90" s="50">
        <v>580</v>
      </c>
      <c r="H90" s="50"/>
      <c r="I90" s="50">
        <v>580</v>
      </c>
      <c r="J90" s="50">
        <v>580</v>
      </c>
      <c r="K90" t="s">
        <v>231</v>
      </c>
    </row>
    <row r="91" spans="1:11">
      <c r="A91" t="s">
        <v>500</v>
      </c>
      <c r="C91" s="105">
        <v>45491</v>
      </c>
      <c r="D91" t="s">
        <v>235</v>
      </c>
      <c r="E91" t="s">
        <v>501</v>
      </c>
      <c r="F91" t="s">
        <v>502</v>
      </c>
      <c r="G91" s="50">
        <v>14719.05</v>
      </c>
      <c r="H91" s="50">
        <v>2952</v>
      </c>
      <c r="I91" s="50">
        <v>17671.05</v>
      </c>
      <c r="J91" s="50">
        <v>17671.05</v>
      </c>
      <c r="K91" t="s">
        <v>230</v>
      </c>
    </row>
    <row r="92" spans="1:11">
      <c r="A92" t="s">
        <v>503</v>
      </c>
      <c r="C92" s="105">
        <v>45492</v>
      </c>
      <c r="D92" t="s">
        <v>235</v>
      </c>
      <c r="E92" t="s">
        <v>504</v>
      </c>
      <c r="F92" t="s">
        <v>505</v>
      </c>
      <c r="G92" s="50">
        <v>1871</v>
      </c>
      <c r="H92" s="50">
        <v>276</v>
      </c>
      <c r="I92" s="50">
        <v>2147</v>
      </c>
      <c r="J92" s="50">
        <v>2147</v>
      </c>
      <c r="K92" t="s">
        <v>231</v>
      </c>
    </row>
    <row r="93" spans="1:11">
      <c r="A93" t="s">
        <v>506</v>
      </c>
      <c r="C93" s="105">
        <v>45496</v>
      </c>
      <c r="D93" t="s">
        <v>235</v>
      </c>
      <c r="E93" t="s">
        <v>507</v>
      </c>
      <c r="F93" t="s">
        <v>508</v>
      </c>
      <c r="G93" s="50">
        <v>25409</v>
      </c>
      <c r="H93" s="50">
        <v>7176</v>
      </c>
      <c r="I93" s="50">
        <v>32585</v>
      </c>
      <c r="J93" s="50">
        <v>32585</v>
      </c>
      <c r="K93" t="s">
        <v>230</v>
      </c>
    </row>
    <row r="94" spans="1:11">
      <c r="A94" t="s">
        <v>509</v>
      </c>
      <c r="C94" s="105">
        <v>45496</v>
      </c>
      <c r="D94" t="s">
        <v>235</v>
      </c>
      <c r="E94" t="s">
        <v>498</v>
      </c>
      <c r="F94" t="s">
        <v>510</v>
      </c>
      <c r="G94" s="50">
        <v>1128.02</v>
      </c>
      <c r="H94" s="50">
        <v>276</v>
      </c>
      <c r="I94" s="50">
        <v>1404.02</v>
      </c>
      <c r="J94" s="50">
        <v>1404.02</v>
      </c>
      <c r="K94" t="s">
        <v>231</v>
      </c>
    </row>
    <row r="95" spans="1:11">
      <c r="A95" t="s">
        <v>511</v>
      </c>
      <c r="C95" s="105">
        <v>45497</v>
      </c>
      <c r="D95" t="s">
        <v>235</v>
      </c>
      <c r="E95" t="s">
        <v>512</v>
      </c>
      <c r="F95" t="s">
        <v>513</v>
      </c>
      <c r="G95" s="50">
        <v>11459.27</v>
      </c>
      <c r="H95" s="50">
        <v>2172</v>
      </c>
      <c r="I95" s="50">
        <v>13631.27</v>
      </c>
      <c r="J95" s="50">
        <v>13631.27</v>
      </c>
      <c r="K95" t="s">
        <v>230</v>
      </c>
    </row>
    <row r="96" spans="1:11" s="109" customFormat="1" ht="15.75" thickBot="1">
      <c r="A96" s="109" t="s">
        <v>514</v>
      </c>
      <c r="C96" s="110">
        <v>45498</v>
      </c>
      <c r="D96" s="109" t="s">
        <v>235</v>
      </c>
      <c r="E96" s="109" t="s">
        <v>515</v>
      </c>
      <c r="F96" s="109" t="s">
        <v>516</v>
      </c>
      <c r="G96" s="111">
        <v>3066.76</v>
      </c>
      <c r="H96" s="111">
        <v>240</v>
      </c>
      <c r="I96" s="111">
        <v>3306.76</v>
      </c>
      <c r="J96" s="111">
        <v>3306.76</v>
      </c>
      <c r="K96" s="109" t="s">
        <v>231</v>
      </c>
    </row>
    <row r="97" spans="1:12">
      <c r="A97" t="s">
        <v>517</v>
      </c>
      <c r="C97" s="105">
        <v>45505</v>
      </c>
      <c r="D97" t="s">
        <v>235</v>
      </c>
      <c r="E97" t="s">
        <v>518</v>
      </c>
      <c r="F97" t="s">
        <v>519</v>
      </c>
      <c r="G97" s="50">
        <v>903.95</v>
      </c>
      <c r="H97" s="50">
        <v>180</v>
      </c>
      <c r="I97" s="50">
        <v>1083.95</v>
      </c>
      <c r="J97" s="50">
        <v>1083.95</v>
      </c>
      <c r="K97" t="s">
        <v>232</v>
      </c>
      <c r="L97" t="s">
        <v>5</v>
      </c>
    </row>
    <row r="98" spans="1:12">
      <c r="A98" t="s">
        <v>520</v>
      </c>
      <c r="C98" s="105">
        <v>45505</v>
      </c>
      <c r="D98" t="s">
        <v>235</v>
      </c>
      <c r="E98" t="s">
        <v>521</v>
      </c>
      <c r="F98" t="s">
        <v>522</v>
      </c>
      <c r="G98" s="50">
        <v>3435.44</v>
      </c>
      <c r="H98" s="50">
        <v>1692</v>
      </c>
      <c r="I98" s="50">
        <v>5127.4399999999996</v>
      </c>
      <c r="J98" s="50">
        <v>5127.4399999999996</v>
      </c>
      <c r="K98" t="s">
        <v>232</v>
      </c>
      <c r="L98" t="s">
        <v>726</v>
      </c>
    </row>
    <row r="99" spans="1:12">
      <c r="A99" t="s">
        <v>523</v>
      </c>
      <c r="C99" s="105">
        <v>45506</v>
      </c>
      <c r="D99" t="s">
        <v>524</v>
      </c>
      <c r="E99" t="s">
        <v>525</v>
      </c>
      <c r="F99" t="s">
        <v>526</v>
      </c>
      <c r="G99" s="50"/>
      <c r="H99" s="50">
        <v>300</v>
      </c>
      <c r="I99" s="50">
        <v>300</v>
      </c>
      <c r="J99" s="50">
        <v>300</v>
      </c>
      <c r="K99" t="s">
        <v>232</v>
      </c>
      <c r="L99" t="s">
        <v>26</v>
      </c>
    </row>
    <row r="100" spans="1:12">
      <c r="A100" t="s">
        <v>527</v>
      </c>
      <c r="B100" t="s">
        <v>733</v>
      </c>
      <c r="C100" s="105">
        <v>45509</v>
      </c>
      <c r="D100" t="s">
        <v>235</v>
      </c>
      <c r="E100" t="s">
        <v>525</v>
      </c>
      <c r="F100" t="s">
        <v>528</v>
      </c>
      <c r="G100" s="50">
        <v>8597.15</v>
      </c>
      <c r="H100" s="50">
        <v>4548</v>
      </c>
      <c r="I100" s="50">
        <v>13145.15</v>
      </c>
      <c r="J100" s="50">
        <v>13145.15</v>
      </c>
      <c r="K100" t="s">
        <v>230</v>
      </c>
    </row>
    <row r="101" spans="1:12">
      <c r="A101" t="s">
        <v>529</v>
      </c>
      <c r="C101" s="105">
        <v>45510</v>
      </c>
      <c r="D101" t="s">
        <v>235</v>
      </c>
      <c r="E101" t="s">
        <v>530</v>
      </c>
      <c r="F101" t="s">
        <v>531</v>
      </c>
      <c r="G101" s="50">
        <v>5347.39</v>
      </c>
      <c r="H101" s="50">
        <v>1548</v>
      </c>
      <c r="I101" s="50">
        <v>6895.39</v>
      </c>
      <c r="J101" s="50">
        <v>6895.39</v>
      </c>
      <c r="K101" t="s">
        <v>230</v>
      </c>
    </row>
    <row r="102" spans="1:12">
      <c r="A102" t="s">
        <v>532</v>
      </c>
      <c r="C102" s="105">
        <v>45510</v>
      </c>
      <c r="D102" t="s">
        <v>235</v>
      </c>
      <c r="E102" t="s">
        <v>533</v>
      </c>
      <c r="F102" t="s">
        <v>534</v>
      </c>
      <c r="G102" s="50">
        <v>4863.41</v>
      </c>
      <c r="H102" s="50">
        <v>2364</v>
      </c>
      <c r="I102" s="50">
        <v>7227.41</v>
      </c>
      <c r="J102" s="50">
        <v>7227.41</v>
      </c>
      <c r="K102" t="s">
        <v>230</v>
      </c>
    </row>
    <row r="103" spans="1:12">
      <c r="A103" t="s">
        <v>535</v>
      </c>
      <c r="C103" s="105">
        <v>45511</v>
      </c>
      <c r="D103" t="s">
        <v>235</v>
      </c>
      <c r="E103" t="s">
        <v>536</v>
      </c>
      <c r="F103" t="s">
        <v>537</v>
      </c>
      <c r="G103" s="50">
        <v>2191.14</v>
      </c>
      <c r="H103" s="50">
        <v>4560</v>
      </c>
      <c r="I103" s="50">
        <v>6751.14</v>
      </c>
      <c r="J103" s="50">
        <v>6751.14</v>
      </c>
      <c r="K103" t="s">
        <v>230</v>
      </c>
    </row>
    <row r="104" spans="1:12">
      <c r="A104" t="s">
        <v>538</v>
      </c>
      <c r="B104" t="s">
        <v>733</v>
      </c>
      <c r="C104" s="105">
        <v>45512</v>
      </c>
      <c r="D104" t="s">
        <v>235</v>
      </c>
      <c r="E104" t="s">
        <v>322</v>
      </c>
      <c r="F104" t="s">
        <v>539</v>
      </c>
      <c r="G104" s="50">
        <v>3066.76</v>
      </c>
      <c r="H104" s="50">
        <v>240</v>
      </c>
      <c r="I104" s="50">
        <v>3306.76</v>
      </c>
      <c r="J104" s="50">
        <v>3306.76</v>
      </c>
      <c r="K104" t="s">
        <v>231</v>
      </c>
    </row>
    <row r="105" spans="1:12" ht="16.5" customHeight="1">
      <c r="A105" t="s">
        <v>540</v>
      </c>
      <c r="C105" s="105">
        <v>45517</v>
      </c>
      <c r="D105" t="s">
        <v>235</v>
      </c>
      <c r="E105" t="s">
        <v>541</v>
      </c>
      <c r="F105" t="s">
        <v>542</v>
      </c>
      <c r="G105" s="50">
        <v>200</v>
      </c>
      <c r="H105" s="50">
        <v>400</v>
      </c>
      <c r="I105" s="50">
        <v>600</v>
      </c>
      <c r="J105" s="50">
        <v>600</v>
      </c>
      <c r="K105" t="s">
        <v>232</v>
      </c>
      <c r="L105" t="s">
        <v>726</v>
      </c>
    </row>
    <row r="106" spans="1:12">
      <c r="A106" t="s">
        <v>543</v>
      </c>
      <c r="C106" s="105">
        <v>45519</v>
      </c>
      <c r="D106" t="s">
        <v>235</v>
      </c>
      <c r="E106" t="s">
        <v>544</v>
      </c>
      <c r="F106" t="s">
        <v>545</v>
      </c>
      <c r="G106" s="50">
        <v>1909.05</v>
      </c>
      <c r="H106" s="50">
        <v>1320</v>
      </c>
      <c r="I106" s="50">
        <v>3229.05</v>
      </c>
      <c r="J106" s="50">
        <v>3229.05</v>
      </c>
      <c r="K106" t="s">
        <v>230</v>
      </c>
    </row>
    <row r="107" spans="1:12">
      <c r="A107" t="s">
        <v>546</v>
      </c>
      <c r="C107" s="105">
        <v>45521</v>
      </c>
      <c r="D107" t="s">
        <v>235</v>
      </c>
      <c r="E107" t="s">
        <v>547</v>
      </c>
      <c r="F107" t="s">
        <v>548</v>
      </c>
      <c r="G107" s="50">
        <v>21847.17</v>
      </c>
      <c r="H107" s="50">
        <v>8124</v>
      </c>
      <c r="I107" s="50">
        <v>29971.17</v>
      </c>
      <c r="J107" s="50">
        <v>29971.17</v>
      </c>
      <c r="K107" t="s">
        <v>230</v>
      </c>
    </row>
    <row r="108" spans="1:12">
      <c r="A108" t="s">
        <v>549</v>
      </c>
      <c r="C108" s="105">
        <v>45524</v>
      </c>
      <c r="D108" t="s">
        <v>235</v>
      </c>
      <c r="E108" t="s">
        <v>550</v>
      </c>
      <c r="F108" t="s">
        <v>551</v>
      </c>
      <c r="G108" s="50">
        <v>9431.27</v>
      </c>
      <c r="H108" s="50">
        <v>6252</v>
      </c>
      <c r="I108" s="50">
        <v>15683.27</v>
      </c>
      <c r="J108" s="50">
        <v>15683.27</v>
      </c>
      <c r="K108" t="s">
        <v>230</v>
      </c>
    </row>
    <row r="109" spans="1:12">
      <c r="A109" t="s">
        <v>552</v>
      </c>
      <c r="C109" s="105">
        <v>45526</v>
      </c>
      <c r="D109" t="s">
        <v>235</v>
      </c>
      <c r="E109" t="s">
        <v>544</v>
      </c>
      <c r="F109" t="s">
        <v>553</v>
      </c>
      <c r="G109" s="50">
        <v>2042</v>
      </c>
      <c r="H109" s="50">
        <v>276</v>
      </c>
      <c r="I109" s="50">
        <v>2318</v>
      </c>
      <c r="J109" s="50">
        <v>2318</v>
      </c>
      <c r="K109" t="s">
        <v>231</v>
      </c>
    </row>
    <row r="110" spans="1:12">
      <c r="A110" t="s">
        <v>554</v>
      </c>
      <c r="C110" s="105">
        <v>45527</v>
      </c>
      <c r="D110" t="s">
        <v>235</v>
      </c>
      <c r="E110" t="s">
        <v>468</v>
      </c>
      <c r="F110" t="s">
        <v>555</v>
      </c>
      <c r="G110" s="50">
        <v>2078.02</v>
      </c>
      <c r="H110" s="50">
        <v>276</v>
      </c>
      <c r="I110" s="50">
        <v>2354.02</v>
      </c>
      <c r="J110" s="50">
        <v>2354.02</v>
      </c>
      <c r="K110" t="s">
        <v>231</v>
      </c>
    </row>
    <row r="111" spans="1:12">
      <c r="A111" t="s">
        <v>556</v>
      </c>
      <c r="C111" s="105">
        <v>45530</v>
      </c>
      <c r="D111" t="s">
        <v>235</v>
      </c>
      <c r="E111" t="s">
        <v>557</v>
      </c>
      <c r="F111" t="s">
        <v>558</v>
      </c>
      <c r="G111" s="50">
        <v>5888.6</v>
      </c>
      <c r="H111" s="50">
        <v>2004</v>
      </c>
      <c r="I111" s="50">
        <v>7892.6</v>
      </c>
      <c r="J111" s="50">
        <v>7892.6</v>
      </c>
      <c r="K111" t="s">
        <v>230</v>
      </c>
    </row>
    <row r="112" spans="1:12">
      <c r="A112" t="s">
        <v>559</v>
      </c>
      <c r="C112" s="105">
        <v>45530</v>
      </c>
      <c r="D112" t="s">
        <v>235</v>
      </c>
      <c r="E112" t="s">
        <v>560</v>
      </c>
      <c r="F112" t="s">
        <v>561</v>
      </c>
      <c r="G112" s="50">
        <v>5224.71</v>
      </c>
      <c r="H112" s="50">
        <v>1332</v>
      </c>
      <c r="I112" s="50">
        <v>6556.71</v>
      </c>
      <c r="J112" s="50">
        <v>6556.71</v>
      </c>
      <c r="K112" t="s">
        <v>230</v>
      </c>
    </row>
    <row r="113" spans="1:12" s="109" customFormat="1" ht="15.75" thickBot="1">
      <c r="A113" s="109" t="s">
        <v>562</v>
      </c>
      <c r="C113" s="110">
        <v>45531</v>
      </c>
      <c r="D113" s="109" t="s">
        <v>235</v>
      </c>
      <c r="E113" s="109" t="s">
        <v>563</v>
      </c>
      <c r="F113" s="109" t="s">
        <v>564</v>
      </c>
      <c r="G113" s="111">
        <v>7065.83</v>
      </c>
      <c r="H113" s="111">
        <v>1476</v>
      </c>
      <c r="I113" s="111">
        <v>8541.83</v>
      </c>
      <c r="J113" s="111">
        <v>8541.83</v>
      </c>
      <c r="K113" s="109" t="s">
        <v>230</v>
      </c>
    </row>
    <row r="114" spans="1:12">
      <c r="A114" t="s">
        <v>565</v>
      </c>
      <c r="B114" t="s">
        <v>734</v>
      </c>
      <c r="C114" s="105">
        <v>45537</v>
      </c>
      <c r="D114" t="s">
        <v>235</v>
      </c>
      <c r="E114" t="s">
        <v>314</v>
      </c>
      <c r="F114" t="s">
        <v>566</v>
      </c>
      <c r="G114" s="50">
        <v>2527.3000000000002</v>
      </c>
      <c r="H114" s="50">
        <v>4404</v>
      </c>
      <c r="I114" s="50">
        <v>6931.3</v>
      </c>
      <c r="J114" s="50">
        <v>6931.3</v>
      </c>
      <c r="K114" t="s">
        <v>230</v>
      </c>
    </row>
    <row r="115" spans="1:12">
      <c r="A115" t="s">
        <v>567</v>
      </c>
      <c r="C115" s="105">
        <v>45541</v>
      </c>
      <c r="D115" t="s">
        <v>235</v>
      </c>
      <c r="E115" t="s">
        <v>568</v>
      </c>
      <c r="F115" t="s">
        <v>569</v>
      </c>
      <c r="G115" s="50">
        <v>80</v>
      </c>
      <c r="H115" s="50">
        <v>230</v>
      </c>
      <c r="I115" s="50">
        <v>310</v>
      </c>
      <c r="J115" s="50">
        <v>310</v>
      </c>
      <c r="K115" t="s">
        <v>232</v>
      </c>
      <c r="L115" t="s">
        <v>726</v>
      </c>
    </row>
    <row r="116" spans="1:12">
      <c r="A116" t="s">
        <v>570</v>
      </c>
      <c r="C116" s="105">
        <v>45541</v>
      </c>
      <c r="D116" t="s">
        <v>235</v>
      </c>
      <c r="E116" t="s">
        <v>571</v>
      </c>
      <c r="F116" t="s">
        <v>572</v>
      </c>
      <c r="G116" s="50">
        <v>80</v>
      </c>
      <c r="H116" s="50">
        <v>230</v>
      </c>
      <c r="I116" s="50">
        <v>310</v>
      </c>
      <c r="J116" s="50">
        <v>310</v>
      </c>
      <c r="K116" t="s">
        <v>232</v>
      </c>
      <c r="L116" t="s">
        <v>726</v>
      </c>
    </row>
    <row r="117" spans="1:12">
      <c r="A117" t="s">
        <v>573</v>
      </c>
      <c r="C117" s="105">
        <v>45541</v>
      </c>
      <c r="D117" t="s">
        <v>235</v>
      </c>
      <c r="E117" t="s">
        <v>574</v>
      </c>
      <c r="F117" t="s">
        <v>575</v>
      </c>
      <c r="G117" s="50">
        <v>80</v>
      </c>
      <c r="H117" s="50">
        <v>230</v>
      </c>
      <c r="I117" s="50">
        <v>310</v>
      </c>
      <c r="J117" s="50">
        <v>310</v>
      </c>
      <c r="K117" t="s">
        <v>232</v>
      </c>
      <c r="L117" t="s">
        <v>726</v>
      </c>
    </row>
    <row r="118" spans="1:12">
      <c r="A118" t="s">
        <v>576</v>
      </c>
      <c r="B118" t="s">
        <v>734</v>
      </c>
      <c r="C118" s="105">
        <v>45544</v>
      </c>
      <c r="D118" t="s">
        <v>235</v>
      </c>
      <c r="E118" t="s">
        <v>577</v>
      </c>
      <c r="F118" t="s">
        <v>578</v>
      </c>
      <c r="G118" s="50">
        <v>2091.4</v>
      </c>
      <c r="H118" s="50">
        <v>276</v>
      </c>
      <c r="I118" s="50">
        <v>2367.4</v>
      </c>
      <c r="J118" s="50">
        <v>2367.4</v>
      </c>
      <c r="K118" t="s">
        <v>231</v>
      </c>
    </row>
    <row r="119" spans="1:12">
      <c r="A119" t="s">
        <v>579</v>
      </c>
      <c r="C119" s="105">
        <v>45545</v>
      </c>
      <c r="D119" t="s">
        <v>235</v>
      </c>
      <c r="E119" t="s">
        <v>580</v>
      </c>
      <c r="F119" t="s">
        <v>581</v>
      </c>
      <c r="G119" s="50">
        <v>19289.41</v>
      </c>
      <c r="H119" s="50">
        <v>11196</v>
      </c>
      <c r="I119" s="50">
        <v>30485.41</v>
      </c>
      <c r="J119" s="50">
        <v>30485.41</v>
      </c>
      <c r="K119" t="s">
        <v>230</v>
      </c>
    </row>
    <row r="120" spans="1:12">
      <c r="A120" t="s">
        <v>582</v>
      </c>
      <c r="C120" s="105">
        <v>45546</v>
      </c>
      <c r="D120" t="s">
        <v>235</v>
      </c>
      <c r="E120" t="s">
        <v>583</v>
      </c>
      <c r="F120" t="s">
        <v>584</v>
      </c>
      <c r="G120" s="50">
        <v>2591.7600000000002</v>
      </c>
      <c r="H120" s="50">
        <v>240</v>
      </c>
      <c r="I120" s="50">
        <v>2831.76</v>
      </c>
      <c r="J120" s="50">
        <v>2831.76</v>
      </c>
      <c r="K120" t="s">
        <v>231</v>
      </c>
    </row>
    <row r="121" spans="1:12">
      <c r="A121" t="s">
        <v>585</v>
      </c>
      <c r="C121" s="105">
        <v>45548</v>
      </c>
      <c r="D121" t="s">
        <v>235</v>
      </c>
      <c r="E121" t="s">
        <v>348</v>
      </c>
      <c r="F121" t="s">
        <v>586</v>
      </c>
      <c r="G121" s="50">
        <v>6866.34</v>
      </c>
      <c r="H121" s="50">
        <v>4164</v>
      </c>
      <c r="I121" s="50">
        <v>11030.34</v>
      </c>
      <c r="J121" s="50">
        <v>11030.34</v>
      </c>
      <c r="K121" t="s">
        <v>230</v>
      </c>
    </row>
    <row r="122" spans="1:12">
      <c r="A122" t="s">
        <v>587</v>
      </c>
      <c r="C122" s="105">
        <v>45553</v>
      </c>
      <c r="D122" t="s">
        <v>235</v>
      </c>
      <c r="E122" t="s">
        <v>588</v>
      </c>
      <c r="F122" t="s">
        <v>589</v>
      </c>
      <c r="G122" s="50">
        <v>12093.1</v>
      </c>
      <c r="H122" s="50">
        <v>2820</v>
      </c>
      <c r="I122" s="50">
        <v>14913.1</v>
      </c>
      <c r="J122" s="50">
        <v>14913.1</v>
      </c>
      <c r="K122" t="s">
        <v>230</v>
      </c>
    </row>
    <row r="123" spans="1:12">
      <c r="A123" t="s">
        <v>590</v>
      </c>
      <c r="C123" s="105">
        <v>45554</v>
      </c>
      <c r="D123" t="s">
        <v>235</v>
      </c>
      <c r="E123" t="s">
        <v>591</v>
      </c>
      <c r="F123" t="s">
        <v>592</v>
      </c>
      <c r="G123" s="50">
        <v>15746.9</v>
      </c>
      <c r="H123" s="50">
        <v>1452</v>
      </c>
      <c r="I123" s="50">
        <v>17198.900000000001</v>
      </c>
      <c r="J123" s="50">
        <v>17198.900000000001</v>
      </c>
      <c r="K123" t="s">
        <v>230</v>
      </c>
    </row>
    <row r="124" spans="1:12">
      <c r="A124" t="s">
        <v>593</v>
      </c>
      <c r="C124" s="105">
        <v>45555</v>
      </c>
      <c r="D124" t="s">
        <v>594</v>
      </c>
      <c r="E124" t="s">
        <v>595</v>
      </c>
      <c r="F124" t="s">
        <v>596</v>
      </c>
      <c r="G124" s="50">
        <v>362.1</v>
      </c>
      <c r="H124" s="50">
        <v>1740</v>
      </c>
      <c r="I124" s="50">
        <v>2102.1</v>
      </c>
      <c r="J124" s="50">
        <v>2102.1</v>
      </c>
      <c r="K124" t="s">
        <v>232</v>
      </c>
      <c r="L124" t="s">
        <v>26</v>
      </c>
    </row>
    <row r="125" spans="1:12">
      <c r="A125" t="s">
        <v>597</v>
      </c>
      <c r="C125" s="105">
        <v>45560</v>
      </c>
      <c r="D125" t="s">
        <v>235</v>
      </c>
      <c r="E125" t="s">
        <v>598</v>
      </c>
      <c r="F125" t="s">
        <v>599</v>
      </c>
      <c r="G125" s="50">
        <v>1966</v>
      </c>
      <c r="H125" s="50">
        <v>276</v>
      </c>
      <c r="I125" s="50">
        <v>2242</v>
      </c>
      <c r="J125" s="50">
        <v>2242</v>
      </c>
      <c r="K125" t="s">
        <v>231</v>
      </c>
    </row>
    <row r="126" spans="1:12">
      <c r="A126" t="s">
        <v>600</v>
      </c>
      <c r="C126" s="105">
        <v>45560</v>
      </c>
      <c r="D126" t="s">
        <v>235</v>
      </c>
      <c r="E126" t="s">
        <v>601</v>
      </c>
      <c r="F126" t="s">
        <v>602</v>
      </c>
      <c r="G126" s="50">
        <v>1603.02</v>
      </c>
      <c r="H126" s="50">
        <v>276</v>
      </c>
      <c r="I126" s="50">
        <v>1879.02</v>
      </c>
      <c r="J126" s="50">
        <v>1879.02</v>
      </c>
      <c r="K126" t="s">
        <v>231</v>
      </c>
    </row>
    <row r="127" spans="1:12" s="109" customFormat="1" ht="15.75" thickBot="1">
      <c r="A127" s="109" t="s">
        <v>603</v>
      </c>
      <c r="C127" s="110">
        <v>45561</v>
      </c>
      <c r="D127" s="109" t="s">
        <v>235</v>
      </c>
      <c r="E127" s="109" t="s">
        <v>604</v>
      </c>
      <c r="F127" s="109" t="s">
        <v>605</v>
      </c>
      <c r="G127" s="111">
        <v>2723.4</v>
      </c>
      <c r="H127" s="111">
        <v>252</v>
      </c>
      <c r="I127" s="111">
        <v>2975.4</v>
      </c>
      <c r="J127" s="111">
        <v>2975.4</v>
      </c>
      <c r="K127" s="109" t="s">
        <v>231</v>
      </c>
    </row>
    <row r="128" spans="1:12">
      <c r="A128" t="s">
        <v>606</v>
      </c>
      <c r="B128" t="s">
        <v>735</v>
      </c>
      <c r="C128" s="105">
        <v>45568</v>
      </c>
      <c r="D128" t="s">
        <v>235</v>
      </c>
      <c r="E128" t="s">
        <v>607</v>
      </c>
      <c r="F128" t="s">
        <v>608</v>
      </c>
      <c r="G128" s="50">
        <v>11449.84</v>
      </c>
      <c r="H128" s="50">
        <v>1536</v>
      </c>
      <c r="I128" s="50">
        <v>12985.84</v>
      </c>
      <c r="J128" s="50">
        <v>12985.84</v>
      </c>
      <c r="K128" t="s">
        <v>230</v>
      </c>
    </row>
    <row r="129" spans="1:12">
      <c r="A129" t="s">
        <v>609</v>
      </c>
      <c r="C129" s="105">
        <v>45569</v>
      </c>
      <c r="D129" t="s">
        <v>235</v>
      </c>
      <c r="E129" t="s">
        <v>610</v>
      </c>
      <c r="F129" t="s">
        <v>611</v>
      </c>
      <c r="G129" s="50">
        <v>20370.91</v>
      </c>
      <c r="H129" s="50">
        <v>2256</v>
      </c>
      <c r="I129" s="50">
        <v>22626.91</v>
      </c>
      <c r="J129" s="50">
        <v>22626.91</v>
      </c>
      <c r="K129" t="s">
        <v>230</v>
      </c>
    </row>
    <row r="130" spans="1:12">
      <c r="A130" t="s">
        <v>612</v>
      </c>
      <c r="B130" t="s">
        <v>735</v>
      </c>
      <c r="C130" s="105">
        <v>45570</v>
      </c>
      <c r="D130" t="s">
        <v>235</v>
      </c>
      <c r="E130" t="s">
        <v>613</v>
      </c>
      <c r="F130" t="s">
        <v>614</v>
      </c>
      <c r="G130" s="50">
        <v>1603.02</v>
      </c>
      <c r="H130" s="50">
        <v>276</v>
      </c>
      <c r="I130" s="50">
        <v>1879.02</v>
      </c>
      <c r="J130" s="50">
        <v>1879.02</v>
      </c>
      <c r="K130" t="s">
        <v>231</v>
      </c>
    </row>
    <row r="131" spans="1:12">
      <c r="A131" t="s">
        <v>615</v>
      </c>
      <c r="C131" s="105">
        <v>45574</v>
      </c>
      <c r="D131" t="s">
        <v>235</v>
      </c>
      <c r="E131" t="s">
        <v>616</v>
      </c>
      <c r="F131" t="s">
        <v>617</v>
      </c>
      <c r="G131" s="50">
        <v>7998.41</v>
      </c>
      <c r="H131" s="50">
        <v>1872</v>
      </c>
      <c r="I131" s="50">
        <v>9870.41</v>
      </c>
      <c r="J131" s="50">
        <v>9870.41</v>
      </c>
      <c r="K131" t="s">
        <v>230</v>
      </c>
    </row>
    <row r="132" spans="1:12">
      <c r="A132" t="s">
        <v>618</v>
      </c>
      <c r="C132" s="105">
        <v>45574</v>
      </c>
      <c r="D132" t="s">
        <v>619</v>
      </c>
      <c r="E132" t="s">
        <v>620</v>
      </c>
      <c r="F132" t="s">
        <v>621</v>
      </c>
      <c r="G132" s="50">
        <v>258</v>
      </c>
      <c r="H132" s="50">
        <v>120</v>
      </c>
      <c r="I132" s="50">
        <v>378</v>
      </c>
      <c r="J132" s="50">
        <v>378</v>
      </c>
      <c r="K132" t="s">
        <v>232</v>
      </c>
      <c r="L132" t="s">
        <v>26</v>
      </c>
    </row>
    <row r="133" spans="1:12">
      <c r="A133" t="s">
        <v>622</v>
      </c>
      <c r="C133" s="105">
        <v>45577</v>
      </c>
      <c r="D133" t="s">
        <v>235</v>
      </c>
      <c r="E133" t="s">
        <v>623</v>
      </c>
      <c r="F133" t="s">
        <v>624</v>
      </c>
      <c r="G133" s="50">
        <v>39735.919999999998</v>
      </c>
      <c r="H133" s="50">
        <v>6732</v>
      </c>
      <c r="I133" s="50">
        <v>46467.92</v>
      </c>
      <c r="J133" s="50">
        <v>46467.92</v>
      </c>
      <c r="K133" t="s">
        <v>230</v>
      </c>
    </row>
    <row r="134" spans="1:12">
      <c r="A134" t="s">
        <v>625</v>
      </c>
      <c r="C134" s="105">
        <v>45577</v>
      </c>
      <c r="D134" t="s">
        <v>235</v>
      </c>
      <c r="E134" t="s">
        <v>626</v>
      </c>
      <c r="F134" t="s">
        <v>627</v>
      </c>
      <c r="G134" s="50">
        <v>28417.51</v>
      </c>
      <c r="H134" s="50">
        <v>2520</v>
      </c>
      <c r="I134" s="50">
        <v>30937.51</v>
      </c>
      <c r="J134" s="50">
        <v>30937.51</v>
      </c>
      <c r="K134" t="s">
        <v>230</v>
      </c>
    </row>
    <row r="135" spans="1:12">
      <c r="A135" t="s">
        <v>628</v>
      </c>
      <c r="C135" s="105">
        <v>45579</v>
      </c>
      <c r="D135" t="s">
        <v>235</v>
      </c>
      <c r="E135" t="s">
        <v>629</v>
      </c>
      <c r="F135" t="s">
        <v>630</v>
      </c>
      <c r="G135" s="50">
        <v>3066.76</v>
      </c>
      <c r="H135" s="50">
        <v>240</v>
      </c>
      <c r="I135" s="50">
        <v>3306.76</v>
      </c>
      <c r="J135" s="50">
        <v>3306.76</v>
      </c>
      <c r="K135" t="s">
        <v>231</v>
      </c>
    </row>
    <row r="136" spans="1:12">
      <c r="A136" t="s">
        <v>631</v>
      </c>
      <c r="C136" s="105">
        <v>45581</v>
      </c>
      <c r="D136" t="s">
        <v>235</v>
      </c>
      <c r="E136" t="s">
        <v>632</v>
      </c>
      <c r="F136" t="s">
        <v>633</v>
      </c>
      <c r="G136" s="50">
        <v>25565.29</v>
      </c>
      <c r="H136" s="50">
        <v>6258</v>
      </c>
      <c r="I136" s="50">
        <v>31823.29</v>
      </c>
      <c r="J136" s="50">
        <v>31823.29</v>
      </c>
      <c r="K136" t="s">
        <v>230</v>
      </c>
    </row>
    <row r="137" spans="1:12">
      <c r="A137" t="s">
        <v>634</v>
      </c>
      <c r="C137" s="105">
        <v>45581</v>
      </c>
      <c r="D137" t="s">
        <v>235</v>
      </c>
      <c r="E137" t="s">
        <v>305</v>
      </c>
      <c r="F137" t="s">
        <v>635</v>
      </c>
      <c r="G137" s="50">
        <v>8369.94</v>
      </c>
      <c r="H137" s="50">
        <v>2028</v>
      </c>
      <c r="I137" s="50">
        <v>10397.94</v>
      </c>
      <c r="J137" s="50">
        <v>10397.94</v>
      </c>
      <c r="K137" t="s">
        <v>230</v>
      </c>
    </row>
    <row r="138" spans="1:12">
      <c r="A138" t="s">
        <v>636</v>
      </c>
      <c r="C138" s="105">
        <v>45588</v>
      </c>
      <c r="D138" t="s">
        <v>235</v>
      </c>
      <c r="E138" t="s">
        <v>637</v>
      </c>
      <c r="F138" t="s">
        <v>638</v>
      </c>
      <c r="G138" s="50">
        <v>25030.59</v>
      </c>
      <c r="H138" s="50">
        <v>4956</v>
      </c>
      <c r="I138" s="50">
        <v>29986.59</v>
      </c>
      <c r="J138" s="50">
        <v>29986.59</v>
      </c>
      <c r="K138" t="s">
        <v>230</v>
      </c>
    </row>
    <row r="139" spans="1:12">
      <c r="A139" t="s">
        <v>639</v>
      </c>
      <c r="C139" s="105">
        <v>45589</v>
      </c>
      <c r="D139" t="s">
        <v>235</v>
      </c>
      <c r="E139" t="s">
        <v>640</v>
      </c>
      <c r="F139" t="s">
        <v>641</v>
      </c>
      <c r="G139" s="50">
        <v>1603.02</v>
      </c>
      <c r="H139" s="50">
        <v>276</v>
      </c>
      <c r="I139" s="50">
        <v>1879.02</v>
      </c>
      <c r="J139" s="50">
        <v>1879.02</v>
      </c>
      <c r="K139" t="s">
        <v>231</v>
      </c>
    </row>
    <row r="140" spans="1:12">
      <c r="A140" t="s">
        <v>642</v>
      </c>
      <c r="C140" s="105">
        <v>45590</v>
      </c>
      <c r="D140" t="s">
        <v>235</v>
      </c>
      <c r="E140" t="s">
        <v>643</v>
      </c>
      <c r="F140" t="s">
        <v>644</v>
      </c>
      <c r="G140" s="50">
        <v>1603.02</v>
      </c>
      <c r="H140" s="50">
        <v>276</v>
      </c>
      <c r="I140" s="50">
        <v>1879.02</v>
      </c>
      <c r="J140" s="50">
        <v>1879.02</v>
      </c>
      <c r="K140" t="s">
        <v>231</v>
      </c>
    </row>
    <row r="141" spans="1:12">
      <c r="A141" t="s">
        <v>645</v>
      </c>
      <c r="C141" s="105">
        <v>45591</v>
      </c>
      <c r="D141" t="s">
        <v>235</v>
      </c>
      <c r="E141" t="s">
        <v>646</v>
      </c>
      <c r="F141" t="s">
        <v>647</v>
      </c>
      <c r="G141" s="50">
        <v>2649</v>
      </c>
      <c r="H141" s="50">
        <v>240</v>
      </c>
      <c r="I141" s="50">
        <v>2889</v>
      </c>
      <c r="J141" s="50">
        <v>2889</v>
      </c>
      <c r="K141" t="s">
        <v>231</v>
      </c>
    </row>
    <row r="142" spans="1:12">
      <c r="A142" t="s">
        <v>648</v>
      </c>
      <c r="C142" s="105">
        <v>45593</v>
      </c>
      <c r="D142" t="s">
        <v>235</v>
      </c>
      <c r="E142" t="s">
        <v>649</v>
      </c>
      <c r="F142" t="s">
        <v>650</v>
      </c>
      <c r="G142" s="50">
        <v>1603.02</v>
      </c>
      <c r="H142" s="50">
        <v>276</v>
      </c>
      <c r="I142" s="50">
        <v>1879.02</v>
      </c>
      <c r="J142" s="50">
        <v>1879.02</v>
      </c>
      <c r="K142" t="s">
        <v>231</v>
      </c>
    </row>
    <row r="143" spans="1:12">
      <c r="A143" t="s">
        <v>651</v>
      </c>
      <c r="C143" s="105">
        <v>45593</v>
      </c>
      <c r="D143" t="s">
        <v>235</v>
      </c>
      <c r="E143" t="s">
        <v>652</v>
      </c>
      <c r="F143" t="s">
        <v>653</v>
      </c>
      <c r="G143" s="50">
        <v>4364.01</v>
      </c>
      <c r="H143" s="50">
        <v>3520.8</v>
      </c>
      <c r="I143" s="50">
        <v>7884.81</v>
      </c>
      <c r="J143" s="50">
        <v>7884.81</v>
      </c>
      <c r="K143" t="s">
        <v>232</v>
      </c>
      <c r="L143" t="s">
        <v>726</v>
      </c>
    </row>
    <row r="144" spans="1:12">
      <c r="A144" t="s">
        <v>654</v>
      </c>
      <c r="C144" s="105">
        <v>45593</v>
      </c>
      <c r="D144" t="s">
        <v>655</v>
      </c>
      <c r="E144" t="s">
        <v>656</v>
      </c>
      <c r="F144" t="s">
        <v>657</v>
      </c>
      <c r="G144" s="50">
        <v>515</v>
      </c>
      <c r="H144" s="50">
        <v>1068</v>
      </c>
      <c r="I144" s="50">
        <v>1583</v>
      </c>
      <c r="J144" s="50">
        <v>1583</v>
      </c>
      <c r="K144" t="s">
        <v>232</v>
      </c>
      <c r="L144" t="s">
        <v>26</v>
      </c>
    </row>
    <row r="145" spans="1:11" s="109" customFormat="1" ht="15.75" thickBot="1">
      <c r="A145" s="109" t="s">
        <v>658</v>
      </c>
      <c r="C145" s="110">
        <v>45594</v>
      </c>
      <c r="D145" s="109" t="s">
        <v>235</v>
      </c>
      <c r="E145" s="109" t="s">
        <v>637</v>
      </c>
      <c r="F145" s="109" t="s">
        <v>659</v>
      </c>
      <c r="G145" s="111">
        <v>2089.5</v>
      </c>
      <c r="H145" s="111">
        <v>276</v>
      </c>
      <c r="I145" s="111">
        <v>2365.5</v>
      </c>
      <c r="J145" s="111">
        <v>2365.5</v>
      </c>
      <c r="K145" s="109" t="s">
        <v>231</v>
      </c>
    </row>
    <row r="146" spans="1:11">
      <c r="A146" t="s">
        <v>660</v>
      </c>
      <c r="B146" t="s">
        <v>736</v>
      </c>
      <c r="C146" s="105">
        <v>45598</v>
      </c>
      <c r="D146" t="s">
        <v>235</v>
      </c>
      <c r="E146" t="s">
        <v>661</v>
      </c>
      <c r="F146" t="s">
        <v>662</v>
      </c>
      <c r="G146" s="50">
        <v>11326.48</v>
      </c>
      <c r="H146" s="50">
        <v>756</v>
      </c>
      <c r="I146" s="50">
        <v>12082.48</v>
      </c>
      <c r="J146" s="50">
        <v>12082.48</v>
      </c>
      <c r="K146" t="s">
        <v>230</v>
      </c>
    </row>
    <row r="147" spans="1:11">
      <c r="A147" t="s">
        <v>663</v>
      </c>
      <c r="C147" s="105">
        <v>45602</v>
      </c>
      <c r="D147" t="s">
        <v>235</v>
      </c>
      <c r="E147" t="s">
        <v>664</v>
      </c>
      <c r="F147" t="s">
        <v>665</v>
      </c>
      <c r="G147" s="50">
        <v>6573.49</v>
      </c>
      <c r="H147" s="50">
        <v>1992</v>
      </c>
      <c r="I147" s="50">
        <v>8565.49</v>
      </c>
      <c r="J147" s="50">
        <v>8565.49</v>
      </c>
      <c r="K147" t="s">
        <v>230</v>
      </c>
    </row>
    <row r="148" spans="1:11">
      <c r="A148" t="s">
        <v>666</v>
      </c>
      <c r="C148" s="105">
        <v>45603</v>
      </c>
      <c r="D148" t="s">
        <v>667</v>
      </c>
      <c r="E148" t="s">
        <v>501</v>
      </c>
      <c r="F148" t="s">
        <v>668</v>
      </c>
      <c r="G148" s="50">
        <v>1174.0999999999999</v>
      </c>
      <c r="H148" s="50">
        <v>490</v>
      </c>
      <c r="I148" s="50">
        <v>1664.1</v>
      </c>
      <c r="J148" s="50">
        <v>1664.1</v>
      </c>
      <c r="K148" t="s">
        <v>230</v>
      </c>
    </row>
    <row r="149" spans="1:11">
      <c r="A149" t="s">
        <v>669</v>
      </c>
      <c r="C149" s="105">
        <v>45607</v>
      </c>
      <c r="D149" t="s">
        <v>235</v>
      </c>
      <c r="E149" t="s">
        <v>670</v>
      </c>
      <c r="F149" t="s">
        <v>671</v>
      </c>
      <c r="G149" s="50">
        <v>15856.47</v>
      </c>
      <c r="H149" s="50">
        <v>5484</v>
      </c>
      <c r="I149" s="50">
        <v>21340.47</v>
      </c>
      <c r="J149" s="50">
        <v>21340.47</v>
      </c>
      <c r="K149" t="s">
        <v>230</v>
      </c>
    </row>
    <row r="150" spans="1:11">
      <c r="A150" t="s">
        <v>672</v>
      </c>
      <c r="C150" s="105">
        <v>45607</v>
      </c>
      <c r="D150" t="s">
        <v>235</v>
      </c>
      <c r="E150" t="s">
        <v>673</v>
      </c>
      <c r="F150" t="s">
        <v>674</v>
      </c>
      <c r="G150" s="50">
        <v>2038</v>
      </c>
      <c r="H150" s="50">
        <v>888</v>
      </c>
      <c r="I150" s="50">
        <v>2926</v>
      </c>
      <c r="J150" s="50">
        <v>2926</v>
      </c>
      <c r="K150" t="s">
        <v>230</v>
      </c>
    </row>
    <row r="151" spans="1:11">
      <c r="A151" t="s">
        <v>675</v>
      </c>
      <c r="C151" s="105">
        <v>45607</v>
      </c>
      <c r="D151" t="s">
        <v>235</v>
      </c>
      <c r="E151" t="s">
        <v>676</v>
      </c>
      <c r="F151" t="s">
        <v>677</v>
      </c>
      <c r="G151" s="50">
        <v>7263</v>
      </c>
      <c r="H151" s="50">
        <v>3396</v>
      </c>
      <c r="I151" s="50">
        <v>10659</v>
      </c>
      <c r="J151" s="50">
        <v>10659</v>
      </c>
      <c r="K151" t="s">
        <v>230</v>
      </c>
    </row>
    <row r="152" spans="1:11">
      <c r="A152" t="s">
        <v>678</v>
      </c>
      <c r="B152" t="s">
        <v>736</v>
      </c>
      <c r="C152" s="105">
        <v>45607</v>
      </c>
      <c r="D152" t="s">
        <v>235</v>
      </c>
      <c r="E152" t="s">
        <v>679</v>
      </c>
      <c r="F152" t="s">
        <v>680</v>
      </c>
      <c r="G152" s="50">
        <v>1603.02</v>
      </c>
      <c r="H152" s="50">
        <v>276</v>
      </c>
      <c r="I152" s="50">
        <v>1879.02</v>
      </c>
      <c r="J152" s="50">
        <v>1879.02</v>
      </c>
      <c r="K152" t="s">
        <v>231</v>
      </c>
    </row>
    <row r="153" spans="1:11">
      <c r="A153" t="s">
        <v>681</v>
      </c>
      <c r="C153" s="105">
        <v>45609</v>
      </c>
      <c r="D153" t="s">
        <v>235</v>
      </c>
      <c r="E153" t="s">
        <v>682</v>
      </c>
      <c r="F153" t="s">
        <v>683</v>
      </c>
      <c r="G153" s="50">
        <v>2042</v>
      </c>
      <c r="H153" s="50">
        <v>276</v>
      </c>
      <c r="I153" s="50">
        <v>2318</v>
      </c>
      <c r="J153" s="50">
        <v>2318</v>
      </c>
      <c r="K153" t="s">
        <v>231</v>
      </c>
    </row>
    <row r="154" spans="1:11">
      <c r="A154" t="s">
        <v>684</v>
      </c>
      <c r="C154" s="105">
        <v>45609</v>
      </c>
      <c r="D154" t="s">
        <v>235</v>
      </c>
      <c r="E154" t="s">
        <v>685</v>
      </c>
      <c r="F154" t="s">
        <v>686</v>
      </c>
      <c r="G154" s="50">
        <v>2591.7600000000002</v>
      </c>
      <c r="H154" s="50">
        <v>240</v>
      </c>
      <c r="I154" s="50">
        <v>2831.76</v>
      </c>
      <c r="J154" s="50">
        <v>2831.76</v>
      </c>
      <c r="K154" t="s">
        <v>231</v>
      </c>
    </row>
    <row r="155" spans="1:11">
      <c r="A155" t="s">
        <v>687</v>
      </c>
      <c r="C155" s="105">
        <v>45618</v>
      </c>
      <c r="D155" t="s">
        <v>235</v>
      </c>
      <c r="E155" t="s">
        <v>688</v>
      </c>
      <c r="F155" t="s">
        <v>689</v>
      </c>
      <c r="G155" s="50">
        <v>2116.7600000000002</v>
      </c>
      <c r="H155" s="50">
        <v>240</v>
      </c>
      <c r="I155" s="50">
        <v>2356.7600000000002</v>
      </c>
      <c r="J155" s="50">
        <v>2356.7600000000002</v>
      </c>
      <c r="K155" t="s">
        <v>231</v>
      </c>
    </row>
    <row r="156" spans="1:11">
      <c r="A156" t="s">
        <v>690</v>
      </c>
      <c r="C156" s="105">
        <v>45621</v>
      </c>
      <c r="D156" t="s">
        <v>235</v>
      </c>
      <c r="E156" t="s">
        <v>336</v>
      </c>
      <c r="F156" t="s">
        <v>691</v>
      </c>
      <c r="G156" s="50">
        <v>7723.11</v>
      </c>
      <c r="H156" s="50">
        <v>735</v>
      </c>
      <c r="I156" s="50">
        <v>8458.11</v>
      </c>
      <c r="J156" s="50">
        <v>8458.11</v>
      </c>
      <c r="K156" t="s">
        <v>230</v>
      </c>
    </row>
    <row r="157" spans="1:11">
      <c r="A157" t="s">
        <v>692</v>
      </c>
      <c r="C157" s="105">
        <v>45621</v>
      </c>
      <c r="D157" t="s">
        <v>235</v>
      </c>
      <c r="E157" t="s">
        <v>693</v>
      </c>
      <c r="F157" t="s">
        <v>694</v>
      </c>
      <c r="G157" s="50">
        <v>11834.59</v>
      </c>
      <c r="H157" s="50">
        <v>1572</v>
      </c>
      <c r="I157" s="50">
        <v>13406.59</v>
      </c>
      <c r="J157" s="50">
        <v>13406.59</v>
      </c>
      <c r="K157" t="s">
        <v>230</v>
      </c>
    </row>
    <row r="158" spans="1:11" s="109" customFormat="1" ht="15.75" thickBot="1">
      <c r="A158" s="109" t="s">
        <v>695</v>
      </c>
      <c r="C158" s="110">
        <v>45622</v>
      </c>
      <c r="D158" s="109" t="s">
        <v>235</v>
      </c>
      <c r="E158" s="109" t="s">
        <v>696</v>
      </c>
      <c r="F158" s="109" t="s">
        <v>697</v>
      </c>
      <c r="G158" s="111">
        <v>4644.21</v>
      </c>
      <c r="H158" s="111">
        <v>2076</v>
      </c>
      <c r="I158" s="111">
        <v>6720.21</v>
      </c>
      <c r="J158" s="111">
        <v>6720.21</v>
      </c>
      <c r="K158" s="109" t="s">
        <v>230</v>
      </c>
    </row>
    <row r="159" spans="1:11">
      <c r="A159" t="s">
        <v>698</v>
      </c>
      <c r="B159" t="s">
        <v>737</v>
      </c>
      <c r="C159" s="105">
        <v>45635</v>
      </c>
      <c r="D159" t="s">
        <v>235</v>
      </c>
      <c r="E159" t="s">
        <v>699</v>
      </c>
      <c r="F159" t="s">
        <v>700</v>
      </c>
      <c r="G159" s="50">
        <v>18553.38</v>
      </c>
      <c r="H159" s="50">
        <v>3612</v>
      </c>
      <c r="I159" s="50">
        <v>22165.38</v>
      </c>
      <c r="J159" s="50">
        <v>22165.38</v>
      </c>
      <c r="K159" t="s">
        <v>230</v>
      </c>
    </row>
    <row r="160" spans="1:11">
      <c r="A160" t="s">
        <v>701</v>
      </c>
      <c r="C160" s="105">
        <v>45635</v>
      </c>
      <c r="D160" t="s">
        <v>235</v>
      </c>
      <c r="E160" t="s">
        <v>702</v>
      </c>
      <c r="F160" t="s">
        <v>703</v>
      </c>
      <c r="G160" s="50">
        <v>40761.589999999997</v>
      </c>
      <c r="H160" s="50">
        <v>3864</v>
      </c>
      <c r="I160" s="50">
        <v>44625.59</v>
      </c>
      <c r="J160" s="50">
        <v>44625.59</v>
      </c>
      <c r="K160" t="s">
        <v>230</v>
      </c>
    </row>
    <row r="161" spans="1:11">
      <c r="A161" t="s">
        <v>704</v>
      </c>
      <c r="B161" t="s">
        <v>737</v>
      </c>
      <c r="C161" s="105">
        <v>45643</v>
      </c>
      <c r="D161" t="s">
        <v>235</v>
      </c>
      <c r="E161" t="s">
        <v>705</v>
      </c>
      <c r="F161" t="s">
        <v>706</v>
      </c>
      <c r="G161" s="50">
        <v>1099.1500000000001</v>
      </c>
      <c r="H161" s="50">
        <v>228</v>
      </c>
      <c r="I161" s="50">
        <v>1327.15</v>
      </c>
      <c r="J161" s="50">
        <v>1327.15</v>
      </c>
      <c r="K161" t="s">
        <v>231</v>
      </c>
    </row>
    <row r="162" spans="1:11">
      <c r="A162" t="s">
        <v>707</v>
      </c>
      <c r="C162" s="105">
        <v>45643</v>
      </c>
      <c r="D162" t="s">
        <v>235</v>
      </c>
      <c r="E162" t="s">
        <v>708</v>
      </c>
      <c r="F162" t="s">
        <v>709</v>
      </c>
      <c r="G162" s="50">
        <v>2197.6999999999998</v>
      </c>
      <c r="H162" s="50">
        <v>240</v>
      </c>
      <c r="I162" s="50">
        <v>2437.6999999999998</v>
      </c>
      <c r="J162" s="50">
        <v>2437.6999999999998</v>
      </c>
      <c r="K162" t="s">
        <v>231</v>
      </c>
    </row>
    <row r="163" spans="1:11">
      <c r="A163" t="s">
        <v>710</v>
      </c>
      <c r="C163" s="105">
        <v>45643</v>
      </c>
      <c r="D163" t="s">
        <v>235</v>
      </c>
      <c r="E163" t="s">
        <v>711</v>
      </c>
      <c r="F163" t="s">
        <v>712</v>
      </c>
      <c r="G163" s="50">
        <v>1736.76</v>
      </c>
      <c r="H163" s="50">
        <v>240</v>
      </c>
      <c r="I163" s="50">
        <v>1976.76</v>
      </c>
      <c r="J163" s="50">
        <v>1976.76</v>
      </c>
      <c r="K163" t="s">
        <v>231</v>
      </c>
    </row>
    <row r="164" spans="1:11">
      <c r="A164" t="s">
        <v>713</v>
      </c>
      <c r="C164" s="105">
        <v>45644</v>
      </c>
      <c r="D164" t="s">
        <v>235</v>
      </c>
      <c r="E164" t="s">
        <v>714</v>
      </c>
      <c r="F164" t="s">
        <v>715</v>
      </c>
      <c r="G164" s="50">
        <v>2042</v>
      </c>
      <c r="H164" s="50">
        <v>276</v>
      </c>
      <c r="I164" s="50">
        <v>2318</v>
      </c>
      <c r="J164" s="50">
        <v>2318</v>
      </c>
      <c r="K164" t="s">
        <v>231</v>
      </c>
    </row>
    <row r="165" spans="1:11">
      <c r="A165" t="s">
        <v>716</v>
      </c>
      <c r="C165" s="105">
        <v>45649</v>
      </c>
      <c r="D165" t="s">
        <v>235</v>
      </c>
      <c r="E165" t="s">
        <v>717</v>
      </c>
      <c r="F165" t="s">
        <v>718</v>
      </c>
      <c r="G165" s="50">
        <v>1603.02</v>
      </c>
      <c r="H165" s="50">
        <v>276</v>
      </c>
      <c r="I165" s="50">
        <v>1879.02</v>
      </c>
      <c r="J165" s="50">
        <v>1879.02</v>
      </c>
      <c r="K165" t="s">
        <v>231</v>
      </c>
    </row>
    <row r="166" spans="1:11">
      <c r="A166" t="s">
        <v>719</v>
      </c>
      <c r="C166" s="105">
        <v>45654</v>
      </c>
      <c r="D166" t="s">
        <v>235</v>
      </c>
      <c r="E166" t="s">
        <v>720</v>
      </c>
      <c r="F166" t="s">
        <v>721</v>
      </c>
      <c r="G166" s="50">
        <v>1641.76</v>
      </c>
      <c r="H166" s="50">
        <v>240</v>
      </c>
      <c r="I166" s="50">
        <v>1881.76</v>
      </c>
      <c r="J166" s="50">
        <v>1881.76</v>
      </c>
      <c r="K166" t="s">
        <v>231</v>
      </c>
    </row>
    <row r="167" spans="1:11">
      <c r="A167" t="s">
        <v>722</v>
      </c>
      <c r="C167" s="105">
        <v>45656</v>
      </c>
      <c r="D167" t="s">
        <v>235</v>
      </c>
      <c r="E167" t="s">
        <v>723</v>
      </c>
      <c r="F167" t="s">
        <v>724</v>
      </c>
      <c r="G167" s="50">
        <v>1603.02</v>
      </c>
      <c r="H167" s="50">
        <v>276</v>
      </c>
      <c r="I167" s="50">
        <v>1879.02</v>
      </c>
      <c r="J167" s="50">
        <v>1879.02</v>
      </c>
      <c r="K167" t="s">
        <v>231</v>
      </c>
    </row>
    <row r="169" spans="1:11" ht="15.75" thickBot="1">
      <c r="J169" s="124">
        <f>SUM(J2:J168)</f>
        <v>1488666.8300000003</v>
      </c>
      <c r="K169" s="126">
        <f>J169-J10-J23-J45</f>
        <v>1484127.9600000002</v>
      </c>
    </row>
    <row r="170" spans="1:11" ht="15.75" thickTop="1"/>
    <row r="174" spans="1:11">
      <c r="A174" s="17" t="s">
        <v>893</v>
      </c>
    </row>
    <row r="175" spans="1:11">
      <c r="A175" t="s">
        <v>229</v>
      </c>
      <c r="B175" s="120" t="s">
        <v>856</v>
      </c>
      <c r="C175" t="s">
        <v>228</v>
      </c>
      <c r="D175" s="105" t="s">
        <v>227</v>
      </c>
      <c r="E175" t="s">
        <v>894</v>
      </c>
      <c r="F175" s="50" t="s">
        <v>29</v>
      </c>
      <c r="G175" s="50" t="s">
        <v>895</v>
      </c>
      <c r="H175" t="s">
        <v>725</v>
      </c>
    </row>
    <row r="176" spans="1:11">
      <c r="A176" t="s">
        <v>935</v>
      </c>
      <c r="B176" s="120" t="s">
        <v>728</v>
      </c>
      <c r="C176" s="105">
        <v>45293</v>
      </c>
      <c r="D176" s="105" t="s">
        <v>742</v>
      </c>
      <c r="E176" t="s">
        <v>936</v>
      </c>
      <c r="F176" s="50">
        <v>72</v>
      </c>
      <c r="G176" s="50">
        <v>72</v>
      </c>
    </row>
    <row r="177" spans="1:8">
      <c r="A177" t="s">
        <v>937</v>
      </c>
      <c r="B177" s="120" t="s">
        <v>738</v>
      </c>
      <c r="C177" s="105">
        <v>45353</v>
      </c>
      <c r="D177" s="105" t="s">
        <v>742</v>
      </c>
      <c r="E177" t="s">
        <v>918</v>
      </c>
      <c r="F177" s="50">
        <v>0</v>
      </c>
      <c r="G177" s="50">
        <v>0</v>
      </c>
    </row>
    <row r="178" spans="1:8">
      <c r="A178" t="s">
        <v>938</v>
      </c>
      <c r="B178" s="120" t="s">
        <v>738</v>
      </c>
      <c r="C178" s="105">
        <v>45353</v>
      </c>
      <c r="D178" s="105" t="s">
        <v>742</v>
      </c>
      <c r="E178" t="s">
        <v>918</v>
      </c>
      <c r="F178" s="50">
        <v>0</v>
      </c>
      <c r="G178" s="50">
        <v>0</v>
      </c>
    </row>
    <row r="179" spans="1:8">
      <c r="A179" t="s">
        <v>939</v>
      </c>
      <c r="B179" s="120" t="s">
        <v>738</v>
      </c>
      <c r="C179" s="105">
        <v>45353</v>
      </c>
      <c r="D179" s="105" t="s">
        <v>742</v>
      </c>
      <c r="E179" t="s">
        <v>918</v>
      </c>
      <c r="F179" s="50">
        <v>0</v>
      </c>
      <c r="G179" s="50">
        <v>0</v>
      </c>
    </row>
    <row r="180" spans="1:8">
      <c r="A180" t="s">
        <v>940</v>
      </c>
      <c r="B180" s="120" t="s">
        <v>738</v>
      </c>
      <c r="C180" s="105">
        <v>45353</v>
      </c>
      <c r="D180" s="105" t="s">
        <v>742</v>
      </c>
      <c r="E180" t="s">
        <v>918</v>
      </c>
      <c r="F180" s="50">
        <v>0</v>
      </c>
      <c r="G180" s="50">
        <v>0</v>
      </c>
    </row>
    <row r="181" spans="1:8">
      <c r="A181" t="s">
        <v>941</v>
      </c>
      <c r="B181" s="120" t="s">
        <v>738</v>
      </c>
      <c r="C181" s="105">
        <v>45353</v>
      </c>
      <c r="D181" s="105" t="s">
        <v>742</v>
      </c>
      <c r="E181" t="s">
        <v>918</v>
      </c>
      <c r="F181" s="50">
        <v>0</v>
      </c>
      <c r="G181" s="50">
        <v>0</v>
      </c>
    </row>
    <row r="182" spans="1:8">
      <c r="A182" t="s">
        <v>942</v>
      </c>
      <c r="B182" s="120" t="s">
        <v>738</v>
      </c>
      <c r="C182" s="105">
        <v>45353</v>
      </c>
      <c r="D182" s="105" t="s">
        <v>742</v>
      </c>
      <c r="E182" t="s">
        <v>918</v>
      </c>
      <c r="F182" s="50">
        <v>0</v>
      </c>
      <c r="G182" s="50">
        <v>0</v>
      </c>
    </row>
    <row r="183" spans="1:8">
      <c r="A183" t="s">
        <v>943</v>
      </c>
      <c r="B183" s="120" t="s">
        <v>738</v>
      </c>
      <c r="C183" s="105">
        <v>45353</v>
      </c>
      <c r="D183" s="105" t="s">
        <v>742</v>
      </c>
      <c r="E183" t="s">
        <v>918</v>
      </c>
      <c r="F183" s="50">
        <v>0</v>
      </c>
      <c r="G183" s="50">
        <v>0</v>
      </c>
    </row>
    <row r="184" spans="1:8">
      <c r="A184" t="s">
        <v>944</v>
      </c>
      <c r="B184" s="120" t="s">
        <v>738</v>
      </c>
      <c r="C184" s="105">
        <v>45353</v>
      </c>
      <c r="D184" s="105" t="s">
        <v>742</v>
      </c>
      <c r="E184" t="s">
        <v>918</v>
      </c>
      <c r="F184" s="50">
        <v>0</v>
      </c>
      <c r="G184" s="50">
        <v>0</v>
      </c>
    </row>
    <row r="185" spans="1:8">
      <c r="A185" t="s">
        <v>945</v>
      </c>
      <c r="B185" s="120" t="s">
        <v>738</v>
      </c>
      <c r="C185" s="105">
        <v>45353</v>
      </c>
      <c r="D185" s="105" t="s">
        <v>742</v>
      </c>
      <c r="E185" t="s">
        <v>918</v>
      </c>
      <c r="F185" s="50">
        <v>0</v>
      </c>
      <c r="G185" s="50">
        <v>0</v>
      </c>
    </row>
    <row r="186" spans="1:8">
      <c r="A186" t="s">
        <v>946</v>
      </c>
      <c r="B186" s="120" t="s">
        <v>738</v>
      </c>
      <c r="C186" s="105">
        <v>45353</v>
      </c>
      <c r="D186" s="105" t="s">
        <v>742</v>
      </c>
      <c r="E186" t="s">
        <v>918</v>
      </c>
      <c r="F186" s="50">
        <v>0</v>
      </c>
      <c r="G186" s="50">
        <v>0</v>
      </c>
    </row>
    <row r="187" spans="1:8">
      <c r="A187" t="s">
        <v>947</v>
      </c>
      <c r="B187" s="120" t="s">
        <v>738</v>
      </c>
      <c r="C187" s="105">
        <v>45353</v>
      </c>
      <c r="D187" s="105" t="s">
        <v>742</v>
      </c>
      <c r="E187" t="s">
        <v>918</v>
      </c>
      <c r="F187" s="50">
        <v>0</v>
      </c>
      <c r="G187" s="50">
        <v>0</v>
      </c>
    </row>
    <row r="188" spans="1:8">
      <c r="A188" t="s">
        <v>948</v>
      </c>
      <c r="B188" s="120" t="s">
        <v>738</v>
      </c>
      <c r="C188" s="105">
        <v>45365</v>
      </c>
      <c r="D188" s="105" t="s">
        <v>235</v>
      </c>
      <c r="E188" t="s">
        <v>319</v>
      </c>
      <c r="F188" s="50">
        <v>822.7</v>
      </c>
      <c r="G188" s="50">
        <v>822.7</v>
      </c>
      <c r="H188" s="120" t="s">
        <v>230</v>
      </c>
    </row>
    <row r="189" spans="1:8">
      <c r="A189" t="s">
        <v>949</v>
      </c>
      <c r="B189" s="120" t="s">
        <v>738</v>
      </c>
      <c r="C189" s="105">
        <v>45373</v>
      </c>
      <c r="D189" s="105" t="s">
        <v>235</v>
      </c>
      <c r="E189" t="s">
        <v>283</v>
      </c>
      <c r="F189" s="50">
        <v>3126.93</v>
      </c>
      <c r="G189" s="50">
        <v>3126.93</v>
      </c>
      <c r="H189" s="120" t="s">
        <v>230</v>
      </c>
    </row>
    <row r="190" spans="1:8">
      <c r="A190" t="s">
        <v>950</v>
      </c>
      <c r="B190" s="120" t="s">
        <v>738</v>
      </c>
      <c r="C190" s="105">
        <v>45376</v>
      </c>
      <c r="D190" s="105" t="s">
        <v>235</v>
      </c>
      <c r="E190" t="s">
        <v>351</v>
      </c>
      <c r="F190" s="50">
        <v>4750</v>
      </c>
      <c r="G190" s="50">
        <v>4750</v>
      </c>
      <c r="H190" s="120" t="s">
        <v>230</v>
      </c>
    </row>
    <row r="191" spans="1:8">
      <c r="A191" t="s">
        <v>951</v>
      </c>
      <c r="B191" s="120" t="s">
        <v>730</v>
      </c>
      <c r="C191" s="105">
        <v>45399</v>
      </c>
      <c r="D191" s="105" t="s">
        <v>235</v>
      </c>
      <c r="E191" t="s">
        <v>351</v>
      </c>
      <c r="F191" s="50">
        <v>10184.709999999999</v>
      </c>
      <c r="G191" s="50">
        <v>10184.709999999999</v>
      </c>
      <c r="H191" s="120" t="s">
        <v>230</v>
      </c>
    </row>
    <row r="192" spans="1:8">
      <c r="A192" t="s">
        <v>952</v>
      </c>
      <c r="B192" s="120" t="s">
        <v>730</v>
      </c>
      <c r="C192" s="105">
        <v>45405</v>
      </c>
      <c r="D192" s="105" t="s">
        <v>742</v>
      </c>
      <c r="E192" t="s">
        <v>918</v>
      </c>
      <c r="F192" s="50">
        <v>0</v>
      </c>
      <c r="G192" s="50">
        <v>0</v>
      </c>
    </row>
    <row r="193" spans="1:8">
      <c r="A193" t="s">
        <v>953</v>
      </c>
      <c r="B193" s="120" t="s">
        <v>730</v>
      </c>
      <c r="C193" s="105">
        <v>45405</v>
      </c>
      <c r="D193" s="105" t="s">
        <v>742</v>
      </c>
      <c r="E193" t="s">
        <v>918</v>
      </c>
      <c r="F193" s="50">
        <v>0</v>
      </c>
      <c r="G193" s="50">
        <v>0</v>
      </c>
    </row>
    <row r="194" spans="1:8">
      <c r="A194" t="s">
        <v>954</v>
      </c>
      <c r="B194" s="120" t="s">
        <v>730</v>
      </c>
      <c r="C194" s="105">
        <v>45406</v>
      </c>
      <c r="D194" s="105" t="s">
        <v>742</v>
      </c>
      <c r="E194" t="s">
        <v>918</v>
      </c>
      <c r="F194" s="50">
        <v>0</v>
      </c>
      <c r="G194" s="50">
        <v>0</v>
      </c>
    </row>
    <row r="195" spans="1:8">
      <c r="A195" t="s">
        <v>955</v>
      </c>
      <c r="B195" s="120" t="s">
        <v>731</v>
      </c>
      <c r="C195" s="105">
        <v>45420</v>
      </c>
      <c r="D195" s="105" t="s">
        <v>742</v>
      </c>
      <c r="E195" t="s">
        <v>918</v>
      </c>
      <c r="F195" s="50">
        <v>0</v>
      </c>
      <c r="G195" s="50">
        <v>0</v>
      </c>
    </row>
    <row r="196" spans="1:8">
      <c r="A196" t="s">
        <v>956</v>
      </c>
      <c r="B196" s="120" t="s">
        <v>731</v>
      </c>
      <c r="C196" s="105">
        <v>45420</v>
      </c>
      <c r="D196" s="105" t="s">
        <v>742</v>
      </c>
      <c r="E196" t="s">
        <v>918</v>
      </c>
      <c r="F196" s="50">
        <v>0</v>
      </c>
      <c r="G196" s="50">
        <v>0</v>
      </c>
    </row>
    <row r="197" spans="1:8">
      <c r="A197" t="s">
        <v>957</v>
      </c>
      <c r="B197" s="120" t="s">
        <v>731</v>
      </c>
      <c r="C197" s="105">
        <v>45433</v>
      </c>
      <c r="D197" s="105" t="s">
        <v>235</v>
      </c>
      <c r="E197" t="s">
        <v>419</v>
      </c>
      <c r="F197" s="50">
        <v>712.5</v>
      </c>
      <c r="G197" s="50">
        <v>712.5</v>
      </c>
      <c r="H197" s="120" t="s">
        <v>230</v>
      </c>
    </row>
    <row r="198" spans="1:8">
      <c r="A198" t="s">
        <v>958</v>
      </c>
      <c r="B198" s="120" t="s">
        <v>732</v>
      </c>
      <c r="C198" s="105">
        <v>45456</v>
      </c>
      <c r="D198" s="105" t="s">
        <v>742</v>
      </c>
      <c r="E198" t="s">
        <v>918</v>
      </c>
      <c r="F198" s="50">
        <v>0</v>
      </c>
      <c r="G198" s="50">
        <v>0</v>
      </c>
    </row>
    <row r="199" spans="1:8">
      <c r="A199" t="s">
        <v>959</v>
      </c>
      <c r="B199" s="120" t="s">
        <v>732</v>
      </c>
      <c r="C199" s="105">
        <v>45456</v>
      </c>
      <c r="D199" s="105" t="s">
        <v>742</v>
      </c>
      <c r="E199" t="s">
        <v>918</v>
      </c>
      <c r="F199" s="50">
        <v>0</v>
      </c>
      <c r="G199" s="50">
        <v>0</v>
      </c>
    </row>
    <row r="200" spans="1:8">
      <c r="A200" t="s">
        <v>960</v>
      </c>
      <c r="B200" s="120" t="s">
        <v>13</v>
      </c>
      <c r="C200" s="105">
        <v>45485</v>
      </c>
      <c r="D200" s="105" t="s">
        <v>235</v>
      </c>
      <c r="E200" t="s">
        <v>961</v>
      </c>
      <c r="F200" s="50">
        <v>2470</v>
      </c>
      <c r="G200" s="50">
        <v>2470</v>
      </c>
      <c r="H200" s="120" t="s">
        <v>230</v>
      </c>
    </row>
    <row r="201" spans="1:8">
      <c r="A201" t="s">
        <v>962</v>
      </c>
      <c r="B201" s="120" t="s">
        <v>13</v>
      </c>
      <c r="C201" s="105">
        <v>45489</v>
      </c>
      <c r="D201" s="105" t="s">
        <v>235</v>
      </c>
      <c r="E201" t="s">
        <v>494</v>
      </c>
      <c r="F201" s="50">
        <v>3898.37</v>
      </c>
      <c r="G201" s="50">
        <v>3898.37</v>
      </c>
      <c r="H201" s="120" t="s">
        <v>230</v>
      </c>
    </row>
    <row r="202" spans="1:8">
      <c r="A202" t="s">
        <v>963</v>
      </c>
      <c r="B202" s="120" t="s">
        <v>733</v>
      </c>
      <c r="C202" s="105">
        <v>45509</v>
      </c>
      <c r="D202" s="105" t="s">
        <v>235</v>
      </c>
      <c r="E202" t="s">
        <v>533</v>
      </c>
      <c r="F202" s="50">
        <v>1268.92</v>
      </c>
      <c r="G202" s="50">
        <v>1268.92</v>
      </c>
      <c r="H202" s="120" t="s">
        <v>230</v>
      </c>
    </row>
    <row r="203" spans="1:8">
      <c r="A203" t="s">
        <v>964</v>
      </c>
      <c r="B203" s="120" t="s">
        <v>733</v>
      </c>
      <c r="C203" s="105">
        <v>45511</v>
      </c>
      <c r="D203" s="105" t="s">
        <v>235</v>
      </c>
      <c r="E203" t="s">
        <v>536</v>
      </c>
      <c r="F203" s="50">
        <v>2653.1</v>
      </c>
      <c r="G203" s="50">
        <v>2653.1</v>
      </c>
      <c r="H203" s="120" t="s">
        <v>230</v>
      </c>
    </row>
    <row r="204" spans="1:8">
      <c r="A204" t="s">
        <v>965</v>
      </c>
      <c r="B204" s="120" t="s">
        <v>733</v>
      </c>
      <c r="C204" s="105">
        <v>45531</v>
      </c>
      <c r="D204" s="105" t="s">
        <v>235</v>
      </c>
      <c r="E204" t="s">
        <v>563</v>
      </c>
      <c r="F204" s="50">
        <v>1154.25</v>
      </c>
      <c r="G204" s="50">
        <v>1154.25</v>
      </c>
      <c r="H204" s="120" t="s">
        <v>230</v>
      </c>
    </row>
    <row r="205" spans="1:8">
      <c r="A205" t="s">
        <v>966</v>
      </c>
      <c r="B205" s="120" t="s">
        <v>735</v>
      </c>
      <c r="C205" s="105">
        <v>45577</v>
      </c>
      <c r="D205" s="105" t="s">
        <v>235</v>
      </c>
      <c r="E205" t="s">
        <v>967</v>
      </c>
      <c r="F205" s="50">
        <v>1710</v>
      </c>
      <c r="G205" s="50">
        <v>1710</v>
      </c>
      <c r="H205" s="120" t="s">
        <v>230</v>
      </c>
    </row>
    <row r="206" spans="1:8">
      <c r="A206" t="s">
        <v>968</v>
      </c>
      <c r="B206" s="120" t="s">
        <v>735</v>
      </c>
      <c r="C206" s="105">
        <v>45587</v>
      </c>
      <c r="D206" s="105" t="s">
        <v>235</v>
      </c>
      <c r="E206" t="s">
        <v>670</v>
      </c>
      <c r="F206" s="50">
        <v>817</v>
      </c>
      <c r="G206" s="50">
        <v>817</v>
      </c>
      <c r="H206" s="120" t="s">
        <v>230</v>
      </c>
    </row>
    <row r="207" spans="1:8">
      <c r="A207" t="s">
        <v>969</v>
      </c>
      <c r="B207" s="120" t="s">
        <v>735</v>
      </c>
      <c r="C207" s="105">
        <v>45588</v>
      </c>
      <c r="D207" s="105" t="s">
        <v>235</v>
      </c>
      <c r="E207" t="s">
        <v>637</v>
      </c>
      <c r="F207" s="50">
        <v>380</v>
      </c>
      <c r="G207" s="50">
        <v>380</v>
      </c>
      <c r="H207" s="120" t="s">
        <v>230</v>
      </c>
    </row>
    <row r="208" spans="1:8">
      <c r="A208" t="s">
        <v>970</v>
      </c>
      <c r="B208" s="120" t="s">
        <v>736</v>
      </c>
      <c r="C208" s="105">
        <v>45600</v>
      </c>
      <c r="D208" s="105" t="s">
        <v>235</v>
      </c>
      <c r="E208" t="s">
        <v>971</v>
      </c>
      <c r="F208" s="50">
        <v>1160</v>
      </c>
      <c r="G208" s="50">
        <v>1160</v>
      </c>
    </row>
    <row r="209" spans="1:8">
      <c r="A209" t="s">
        <v>972</v>
      </c>
      <c r="B209" s="120" t="s">
        <v>736</v>
      </c>
      <c r="C209" s="105">
        <v>45604</v>
      </c>
      <c r="D209" s="105" t="s">
        <v>973</v>
      </c>
      <c r="F209" s="50">
        <v>1652.02</v>
      </c>
      <c r="G209" s="50">
        <v>1652.02</v>
      </c>
    </row>
    <row r="210" spans="1:8">
      <c r="A210" t="s">
        <v>974</v>
      </c>
      <c r="B210" s="120" t="s">
        <v>736</v>
      </c>
      <c r="C210" s="105">
        <v>45604</v>
      </c>
      <c r="D210" s="105" t="s">
        <v>235</v>
      </c>
      <c r="E210" t="s">
        <v>975</v>
      </c>
      <c r="F210" s="50">
        <v>1710</v>
      </c>
      <c r="G210" s="50">
        <v>1710</v>
      </c>
      <c r="H210" s="120" t="s">
        <v>230</v>
      </c>
    </row>
    <row r="211" spans="1:8">
      <c r="A211" t="s">
        <v>976</v>
      </c>
      <c r="B211" s="120" t="s">
        <v>736</v>
      </c>
      <c r="C211" s="105">
        <v>45622</v>
      </c>
      <c r="D211" s="105" t="s">
        <v>235</v>
      </c>
      <c r="E211" t="s">
        <v>336</v>
      </c>
      <c r="F211" s="50">
        <v>2711.28</v>
      </c>
      <c r="G211" s="50">
        <v>2711.28</v>
      </c>
      <c r="H211" s="120" t="s">
        <v>230</v>
      </c>
    </row>
    <row r="212" spans="1:8">
      <c r="A212" t="s">
        <v>977</v>
      </c>
      <c r="B212" s="120" t="s">
        <v>737</v>
      </c>
      <c r="C212" s="105">
        <v>45630</v>
      </c>
      <c r="D212" s="105" t="s">
        <v>235</v>
      </c>
      <c r="E212" t="s">
        <v>971</v>
      </c>
      <c r="F212" s="50">
        <v>1495</v>
      </c>
      <c r="G212" s="50">
        <v>1495</v>
      </c>
    </row>
    <row r="213" spans="1:8">
      <c r="A213" t="s">
        <v>978</v>
      </c>
      <c r="B213" s="120" t="s">
        <v>737</v>
      </c>
      <c r="C213" s="105">
        <v>45637</v>
      </c>
      <c r="D213" s="105" t="s">
        <v>235</v>
      </c>
      <c r="E213" t="s">
        <v>711</v>
      </c>
      <c r="F213" s="50">
        <v>293.74</v>
      </c>
      <c r="G213" s="50">
        <v>293.74</v>
      </c>
      <c r="H213" s="120" t="s">
        <v>231</v>
      </c>
    </row>
    <row r="214" spans="1:8">
      <c r="A214" t="s">
        <v>979</v>
      </c>
      <c r="B214" s="120" t="s">
        <v>737</v>
      </c>
      <c r="C214" s="105">
        <v>45649</v>
      </c>
      <c r="D214" s="105" t="s">
        <v>235</v>
      </c>
      <c r="E214" t="s">
        <v>720</v>
      </c>
      <c r="F214" s="50">
        <v>657.74</v>
      </c>
      <c r="G214" s="50">
        <v>657.74</v>
      </c>
      <c r="H214" s="120" t="s">
        <v>231</v>
      </c>
    </row>
    <row r="215" spans="1:8">
      <c r="A215" t="s">
        <v>980</v>
      </c>
      <c r="B215" s="120" t="s">
        <v>737</v>
      </c>
      <c r="C215" s="105">
        <v>45653</v>
      </c>
      <c r="D215" s="105" t="s">
        <v>235</v>
      </c>
      <c r="E215" t="s">
        <v>981</v>
      </c>
      <c r="F215" s="50">
        <v>1320.5</v>
      </c>
      <c r="G215" s="50">
        <v>1320.5</v>
      </c>
      <c r="H215" s="120" t="s">
        <v>230</v>
      </c>
    </row>
    <row r="216" spans="1:8">
      <c r="A216" t="s">
        <v>982</v>
      </c>
      <c r="B216" s="120" t="s">
        <v>738</v>
      </c>
      <c r="C216" s="105">
        <v>45359</v>
      </c>
      <c r="D216" s="105" t="s">
        <v>235</v>
      </c>
      <c r="F216" s="50">
        <v>14800</v>
      </c>
      <c r="G216" s="50">
        <v>14800</v>
      </c>
    </row>
    <row r="218" spans="1:8">
      <c r="G218" s="125">
        <f>SUM(G176:G217)-G176-G208-G209-G212-G216</f>
        <v>40641.739999999991</v>
      </c>
    </row>
  </sheetData>
  <autoFilter ref="A175:M216" xr:uid="{5EFA4532-F3D4-41D9-A070-80C2B8D5C2CA}"/>
  <phoneticPr fontId="4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159E2-BB4E-4D02-BDEB-E675A537C968}">
  <dimension ref="A1:M106"/>
  <sheetViews>
    <sheetView zoomScaleNormal="100" workbookViewId="0">
      <selection activeCell="J211" sqref="J211"/>
    </sheetView>
  </sheetViews>
  <sheetFormatPr defaultRowHeight="15"/>
  <cols>
    <col min="1" max="1" width="13.28515625" style="93" bestFit="1" customWidth="1"/>
    <col min="2" max="2" width="13.28515625" style="93" customWidth="1"/>
    <col min="3" max="3" width="10.7109375" style="94" bestFit="1" customWidth="1"/>
    <col min="4" max="4" width="22.28515625" style="93" bestFit="1" customWidth="1"/>
    <col min="5" max="5" width="25" style="93" bestFit="1" customWidth="1"/>
    <col min="6" max="6" width="15" style="93" bestFit="1" customWidth="1"/>
    <col min="7" max="9" width="10.5703125" style="93" bestFit="1" customWidth="1"/>
    <col min="10" max="10" width="9.5703125" style="93" bestFit="1" customWidth="1"/>
    <col min="11" max="12" width="11.5703125" style="93" bestFit="1" customWidth="1"/>
    <col min="13" max="16384" width="9.140625" style="93"/>
  </cols>
  <sheetData>
    <row r="1" spans="1:13">
      <c r="A1" s="93" t="s">
        <v>229</v>
      </c>
      <c r="C1" s="94" t="s">
        <v>228</v>
      </c>
      <c r="D1" s="93" t="s">
        <v>227</v>
      </c>
      <c r="E1" s="93" t="s">
        <v>226</v>
      </c>
      <c r="F1" s="93" t="s">
        <v>225</v>
      </c>
      <c r="G1" s="93" t="s">
        <v>224</v>
      </c>
      <c r="H1" s="93" t="s">
        <v>223</v>
      </c>
      <c r="I1" s="93" t="s">
        <v>222</v>
      </c>
      <c r="J1" s="93" t="s">
        <v>221</v>
      </c>
      <c r="K1" s="93" t="s">
        <v>29</v>
      </c>
      <c r="L1" s="93" t="s">
        <v>725</v>
      </c>
      <c r="M1" s="115" t="s">
        <v>725</v>
      </c>
    </row>
    <row r="2" spans="1:13">
      <c r="A2" s="93" t="s">
        <v>220</v>
      </c>
      <c r="B2" s="115" t="s">
        <v>728</v>
      </c>
      <c r="C2" s="94">
        <v>45296</v>
      </c>
      <c r="D2" s="93" t="s">
        <v>51</v>
      </c>
      <c r="E2" s="93" t="s">
        <v>62</v>
      </c>
      <c r="F2" s="93" t="s">
        <v>219</v>
      </c>
      <c r="G2" s="95">
        <v>24280.29</v>
      </c>
      <c r="H2" s="95">
        <v>13560</v>
      </c>
      <c r="I2" s="95">
        <v>37840.29</v>
      </c>
      <c r="J2" s="95"/>
      <c r="K2" s="95">
        <v>37840.29</v>
      </c>
      <c r="L2" s="93" t="s">
        <v>230</v>
      </c>
    </row>
    <row r="3" spans="1:13">
      <c r="A3" s="93" t="s">
        <v>218</v>
      </c>
      <c r="B3" s="115" t="s">
        <v>728</v>
      </c>
      <c r="C3" s="94">
        <v>45321</v>
      </c>
      <c r="D3" s="93" t="s">
        <v>51</v>
      </c>
      <c r="E3" s="93" t="s">
        <v>217</v>
      </c>
      <c r="F3" s="93" t="s">
        <v>216</v>
      </c>
      <c r="G3" s="95">
        <v>30485.3</v>
      </c>
      <c r="H3" s="95">
        <v>7620</v>
      </c>
      <c r="I3" s="95">
        <v>38105.300000000003</v>
      </c>
      <c r="J3" s="95"/>
      <c r="K3" s="95">
        <v>38105.300000000003</v>
      </c>
      <c r="L3" s="93" t="s">
        <v>230</v>
      </c>
    </row>
    <row r="4" spans="1:13" s="96" customFormat="1" ht="15.75" thickBot="1">
      <c r="A4" s="96" t="s">
        <v>215</v>
      </c>
      <c r="B4" s="116" t="s">
        <v>728</v>
      </c>
      <c r="C4" s="98">
        <v>45322</v>
      </c>
      <c r="D4" s="96" t="s">
        <v>51</v>
      </c>
      <c r="E4" s="96" t="s">
        <v>214</v>
      </c>
      <c r="F4" s="96" t="s">
        <v>213</v>
      </c>
      <c r="G4" s="97">
        <v>696.06</v>
      </c>
      <c r="H4" s="97">
        <v>420</v>
      </c>
      <c r="I4" s="97">
        <v>1116.06</v>
      </c>
      <c r="J4" s="97"/>
      <c r="K4" s="97">
        <v>1116.06</v>
      </c>
      <c r="L4" s="96" t="s">
        <v>231</v>
      </c>
    </row>
    <row r="5" spans="1:13">
      <c r="A5" s="93" t="s">
        <v>212</v>
      </c>
      <c r="B5" s="115" t="s">
        <v>729</v>
      </c>
      <c r="C5" s="94">
        <v>45341</v>
      </c>
      <c r="D5" s="93" t="s">
        <v>51</v>
      </c>
      <c r="E5" s="93" t="s">
        <v>211</v>
      </c>
      <c r="F5" s="93" t="s">
        <v>210</v>
      </c>
      <c r="G5" s="95">
        <v>53446.25</v>
      </c>
      <c r="H5" s="95">
        <v>6000</v>
      </c>
      <c r="I5" s="95">
        <v>59446.25</v>
      </c>
      <c r="J5" s="95"/>
      <c r="K5" s="95">
        <v>59446.25</v>
      </c>
      <c r="L5" s="93" t="s">
        <v>230</v>
      </c>
    </row>
    <row r="6" spans="1:13" s="96" customFormat="1" ht="15.75" thickBot="1">
      <c r="A6" s="96" t="s">
        <v>209</v>
      </c>
      <c r="B6" s="116" t="s">
        <v>729</v>
      </c>
      <c r="C6" s="98">
        <v>45343</v>
      </c>
      <c r="D6" s="96" t="s">
        <v>51</v>
      </c>
      <c r="E6" s="96" t="s">
        <v>208</v>
      </c>
      <c r="F6" s="96" t="s">
        <v>207</v>
      </c>
      <c r="G6" s="97">
        <v>506.06</v>
      </c>
      <c r="H6" s="97">
        <v>420</v>
      </c>
      <c r="I6" s="97">
        <v>926.06</v>
      </c>
      <c r="J6" s="97"/>
      <c r="K6" s="97">
        <v>926.06</v>
      </c>
      <c r="L6" s="96" t="s">
        <v>231</v>
      </c>
    </row>
    <row r="7" spans="1:13" s="96" customFormat="1" ht="15.75" thickBot="1">
      <c r="A7" s="96" t="s">
        <v>206</v>
      </c>
      <c r="B7" s="116" t="s">
        <v>738</v>
      </c>
      <c r="C7" s="98">
        <v>45359</v>
      </c>
      <c r="D7" s="96" t="s">
        <v>51</v>
      </c>
      <c r="E7" s="96" t="s">
        <v>205</v>
      </c>
      <c r="F7" s="96" t="s">
        <v>204</v>
      </c>
      <c r="G7" s="97">
        <v>688.08</v>
      </c>
      <c r="H7" s="97">
        <v>420</v>
      </c>
      <c r="I7" s="97">
        <v>1108.08</v>
      </c>
      <c r="J7" s="97"/>
      <c r="K7" s="97">
        <v>1108.08</v>
      </c>
      <c r="L7" s="96" t="s">
        <v>231</v>
      </c>
    </row>
    <row r="8" spans="1:13">
      <c r="A8" s="93" t="s">
        <v>203</v>
      </c>
      <c r="B8" s="115" t="s">
        <v>730</v>
      </c>
      <c r="C8" s="94">
        <v>45383</v>
      </c>
      <c r="D8" s="93" t="s">
        <v>51</v>
      </c>
      <c r="E8" s="93" t="s">
        <v>202</v>
      </c>
      <c r="F8" s="93" t="s">
        <v>201</v>
      </c>
      <c r="G8" s="95">
        <v>973.08</v>
      </c>
      <c r="H8" s="95">
        <v>420</v>
      </c>
      <c r="I8" s="95">
        <v>1393.08</v>
      </c>
      <c r="J8" s="95"/>
      <c r="K8" s="95">
        <v>1393.08</v>
      </c>
      <c r="L8" s="93" t="s">
        <v>231</v>
      </c>
    </row>
    <row r="9" spans="1:13">
      <c r="A9" s="93" t="s">
        <v>200</v>
      </c>
      <c r="B9" s="115" t="s">
        <v>730</v>
      </c>
      <c r="C9" s="94">
        <v>45386</v>
      </c>
      <c r="D9" s="93" t="s">
        <v>51</v>
      </c>
      <c r="E9" s="93" t="s">
        <v>106</v>
      </c>
      <c r="F9" s="93" t="s">
        <v>199</v>
      </c>
      <c r="G9" s="95">
        <v>786.03</v>
      </c>
      <c r="H9" s="95">
        <v>420</v>
      </c>
      <c r="I9" s="95">
        <v>1206.03</v>
      </c>
      <c r="J9" s="95"/>
      <c r="K9" s="95">
        <v>1206.03</v>
      </c>
      <c r="L9" s="93" t="s">
        <v>231</v>
      </c>
    </row>
    <row r="10" spans="1:13">
      <c r="A10" s="93" t="s">
        <v>198</v>
      </c>
      <c r="B10" s="115" t="s">
        <v>730</v>
      </c>
      <c r="C10" s="94">
        <v>45399</v>
      </c>
      <c r="D10" s="93" t="s">
        <v>51</v>
      </c>
      <c r="E10" s="93" t="s">
        <v>197</v>
      </c>
      <c r="F10" s="93" t="s">
        <v>196</v>
      </c>
      <c r="G10" s="95">
        <v>1390.48</v>
      </c>
      <c r="H10" s="95"/>
      <c r="I10" s="95">
        <v>1390.48</v>
      </c>
      <c r="J10" s="95"/>
      <c r="K10" s="95">
        <v>1390.48</v>
      </c>
      <c r="L10" s="93" t="s">
        <v>230</v>
      </c>
    </row>
    <row r="11" spans="1:13" s="96" customFormat="1" ht="15.75" thickBot="1">
      <c r="A11" s="96" t="s">
        <v>195</v>
      </c>
      <c r="B11" s="116" t="s">
        <v>730</v>
      </c>
      <c r="C11" s="98">
        <v>45399</v>
      </c>
      <c r="D11" s="96" t="s">
        <v>51</v>
      </c>
      <c r="E11" s="96" t="s">
        <v>194</v>
      </c>
      <c r="F11" s="96" t="s">
        <v>193</v>
      </c>
      <c r="G11" s="97">
        <v>14056.65</v>
      </c>
      <c r="H11" s="97">
        <v>5616</v>
      </c>
      <c r="I11" s="97">
        <v>19672.650000000001</v>
      </c>
      <c r="J11" s="97"/>
      <c r="K11" s="97">
        <v>19672.650000000001</v>
      </c>
      <c r="L11" s="96" t="s">
        <v>230</v>
      </c>
    </row>
    <row r="12" spans="1:13">
      <c r="A12" s="93" t="s">
        <v>192</v>
      </c>
      <c r="B12" s="115" t="s">
        <v>731</v>
      </c>
      <c r="C12" s="94">
        <v>45418</v>
      </c>
      <c r="D12" s="93" t="s">
        <v>51</v>
      </c>
      <c r="E12" s="93" t="s">
        <v>191</v>
      </c>
      <c r="F12" s="93" t="s">
        <v>190</v>
      </c>
      <c r="G12" s="95">
        <v>27624.85</v>
      </c>
      <c r="H12" s="95">
        <v>4008</v>
      </c>
      <c r="I12" s="95">
        <v>31632.85</v>
      </c>
      <c r="J12" s="95"/>
      <c r="K12" s="95">
        <v>31632.85</v>
      </c>
      <c r="L12" s="93" t="s">
        <v>230</v>
      </c>
    </row>
    <row r="13" spans="1:13">
      <c r="A13" s="93" t="s">
        <v>189</v>
      </c>
      <c r="B13" s="115" t="s">
        <v>731</v>
      </c>
      <c r="C13" s="94">
        <v>45422</v>
      </c>
      <c r="D13" s="93" t="s">
        <v>51</v>
      </c>
      <c r="E13" s="93" t="s">
        <v>188</v>
      </c>
      <c r="F13" s="93" t="s">
        <v>187</v>
      </c>
      <c r="G13" s="95">
        <v>433.52</v>
      </c>
      <c r="H13" s="95">
        <v>480</v>
      </c>
      <c r="I13" s="95">
        <v>913.52</v>
      </c>
      <c r="J13" s="95"/>
      <c r="K13" s="95">
        <v>913.52</v>
      </c>
      <c r="L13" s="93" t="s">
        <v>231</v>
      </c>
    </row>
    <row r="14" spans="1:13">
      <c r="A14" s="93" t="s">
        <v>186</v>
      </c>
      <c r="B14" s="115" t="s">
        <v>731</v>
      </c>
      <c r="C14" s="94">
        <v>45422</v>
      </c>
      <c r="D14" s="93" t="s">
        <v>51</v>
      </c>
      <c r="E14" s="93" t="s">
        <v>185</v>
      </c>
      <c r="F14" s="93" t="s">
        <v>184</v>
      </c>
      <c r="G14" s="95">
        <v>433.52</v>
      </c>
      <c r="H14" s="95">
        <v>480</v>
      </c>
      <c r="I14" s="95">
        <v>913.52</v>
      </c>
      <c r="J14" s="95"/>
      <c r="K14" s="95">
        <v>913.52</v>
      </c>
      <c r="L14" s="93" t="s">
        <v>231</v>
      </c>
    </row>
    <row r="15" spans="1:13">
      <c r="A15" s="93" t="s">
        <v>183</v>
      </c>
      <c r="B15" s="115" t="s">
        <v>731</v>
      </c>
      <c r="C15" s="94">
        <v>45433</v>
      </c>
      <c r="D15" s="93" t="s">
        <v>51</v>
      </c>
      <c r="E15" s="93" t="s">
        <v>182</v>
      </c>
      <c r="F15" s="93" t="s">
        <v>181</v>
      </c>
      <c r="G15" s="95">
        <v>6559.5</v>
      </c>
      <c r="H15" s="95">
        <v>2760</v>
      </c>
      <c r="I15" s="95">
        <v>9319.5</v>
      </c>
      <c r="J15" s="95"/>
      <c r="K15" s="95">
        <v>9319.5</v>
      </c>
      <c r="L15" s="93" t="s">
        <v>230</v>
      </c>
    </row>
    <row r="16" spans="1:13" s="96" customFormat="1" ht="15.75" thickBot="1">
      <c r="A16" s="96" t="s">
        <v>180</v>
      </c>
      <c r="B16" s="116" t="s">
        <v>731</v>
      </c>
      <c r="C16" s="98">
        <v>45442</v>
      </c>
      <c r="D16" s="96" t="s">
        <v>51</v>
      </c>
      <c r="E16" s="96" t="s">
        <v>179</v>
      </c>
      <c r="F16" s="96" t="s">
        <v>178</v>
      </c>
      <c r="G16" s="97">
        <v>718.52</v>
      </c>
      <c r="H16" s="97">
        <v>480</v>
      </c>
      <c r="I16" s="97">
        <v>1198.52</v>
      </c>
      <c r="J16" s="97"/>
      <c r="K16" s="97">
        <v>1198.52</v>
      </c>
      <c r="L16" s="96" t="s">
        <v>231</v>
      </c>
    </row>
    <row r="17" spans="1:13">
      <c r="A17" s="93" t="s">
        <v>177</v>
      </c>
      <c r="B17" s="115" t="s">
        <v>732</v>
      </c>
      <c r="C17" s="94">
        <v>45449</v>
      </c>
      <c r="D17" s="93" t="s">
        <v>51</v>
      </c>
      <c r="E17" s="93" t="s">
        <v>176</v>
      </c>
      <c r="F17" s="93" t="s">
        <v>175</v>
      </c>
      <c r="G17" s="95">
        <v>7073.27</v>
      </c>
      <c r="H17" s="95">
        <v>2280</v>
      </c>
      <c r="I17" s="95">
        <v>9353.27</v>
      </c>
      <c r="J17" s="95"/>
      <c r="K17" s="95">
        <v>9353.27</v>
      </c>
      <c r="L17" s="93" t="s">
        <v>230</v>
      </c>
    </row>
    <row r="18" spans="1:13">
      <c r="A18" s="93" t="s">
        <v>174</v>
      </c>
      <c r="B18" s="115" t="s">
        <v>732</v>
      </c>
      <c r="C18" s="94">
        <v>45456</v>
      </c>
      <c r="D18" s="93" t="s">
        <v>51</v>
      </c>
      <c r="E18" s="93" t="s">
        <v>173</v>
      </c>
      <c r="F18" s="93" t="s">
        <v>172</v>
      </c>
      <c r="G18" s="95">
        <v>22112.87</v>
      </c>
      <c r="H18" s="95">
        <v>3720</v>
      </c>
      <c r="I18" s="95">
        <v>25832.87</v>
      </c>
      <c r="J18" s="95"/>
      <c r="K18" s="95">
        <v>25832.87</v>
      </c>
      <c r="L18" s="93" t="s">
        <v>230</v>
      </c>
    </row>
    <row r="19" spans="1:13">
      <c r="A19" s="93" t="s">
        <v>171</v>
      </c>
      <c r="B19" s="115" t="s">
        <v>732</v>
      </c>
      <c r="C19" s="94">
        <v>45458</v>
      </c>
      <c r="D19" s="93" t="s">
        <v>51</v>
      </c>
      <c r="E19" s="93" t="s">
        <v>170</v>
      </c>
      <c r="F19" s="93" t="s">
        <v>169</v>
      </c>
      <c r="G19" s="95">
        <v>5568.44</v>
      </c>
      <c r="H19" s="95">
        <v>3120</v>
      </c>
      <c r="I19" s="95">
        <v>8688.44</v>
      </c>
      <c r="J19" s="95"/>
      <c r="K19" s="95">
        <v>8688.44</v>
      </c>
      <c r="L19" s="93" t="s">
        <v>230</v>
      </c>
    </row>
    <row r="20" spans="1:13">
      <c r="A20" s="93" t="s">
        <v>168</v>
      </c>
      <c r="B20" s="115" t="s">
        <v>732</v>
      </c>
      <c r="C20" s="94">
        <v>45461</v>
      </c>
      <c r="D20" s="93" t="s">
        <v>51</v>
      </c>
      <c r="E20" s="93" t="s">
        <v>167</v>
      </c>
      <c r="F20" s="93" t="s">
        <v>166</v>
      </c>
      <c r="G20" s="95">
        <v>973.08</v>
      </c>
      <c r="H20" s="95">
        <v>420</v>
      </c>
      <c r="I20" s="95">
        <v>1393.08</v>
      </c>
      <c r="J20" s="95"/>
      <c r="K20" s="95">
        <v>1393.08</v>
      </c>
      <c r="L20" s="93" t="s">
        <v>231</v>
      </c>
    </row>
    <row r="21" spans="1:13">
      <c r="A21" s="93" t="s">
        <v>165</v>
      </c>
      <c r="B21" s="115" t="s">
        <v>732</v>
      </c>
      <c r="C21" s="94">
        <v>45468</v>
      </c>
      <c r="D21" s="93" t="s">
        <v>51</v>
      </c>
      <c r="E21" s="93" t="s">
        <v>141</v>
      </c>
      <c r="F21" s="93" t="s">
        <v>164</v>
      </c>
      <c r="G21" s="95">
        <v>55226.49</v>
      </c>
      <c r="H21" s="95">
        <v>8700</v>
      </c>
      <c r="I21" s="95">
        <v>63926.49</v>
      </c>
      <c r="J21" s="95"/>
      <c r="K21" s="95">
        <v>63926.49</v>
      </c>
      <c r="L21" s="93" t="s">
        <v>230</v>
      </c>
    </row>
    <row r="22" spans="1:13">
      <c r="A22" s="101" t="s">
        <v>163</v>
      </c>
      <c r="B22" s="118" t="s">
        <v>732</v>
      </c>
      <c r="C22" s="102">
        <v>45472</v>
      </c>
      <c r="D22" s="101" t="s">
        <v>51</v>
      </c>
      <c r="E22" s="101" t="s">
        <v>65</v>
      </c>
      <c r="F22" s="101" t="s">
        <v>162</v>
      </c>
      <c r="G22" s="99"/>
      <c r="H22" s="99">
        <v>908.2</v>
      </c>
      <c r="I22" s="99">
        <v>908.2</v>
      </c>
      <c r="J22" s="99"/>
      <c r="K22" s="99">
        <v>908.2</v>
      </c>
      <c r="M22" s="115" t="s">
        <v>892</v>
      </c>
    </row>
    <row r="23" spans="1:13">
      <c r="A23" s="101" t="s">
        <v>161</v>
      </c>
      <c r="B23" s="118" t="s">
        <v>732</v>
      </c>
      <c r="C23" s="102">
        <v>45472</v>
      </c>
      <c r="D23" s="101" t="s">
        <v>51</v>
      </c>
      <c r="E23" s="101" t="s">
        <v>68</v>
      </c>
      <c r="F23" s="101" t="s">
        <v>160</v>
      </c>
      <c r="G23" s="99"/>
      <c r="H23" s="99">
        <v>240</v>
      </c>
      <c r="I23" s="99">
        <v>240</v>
      </c>
      <c r="J23" s="99"/>
      <c r="K23" s="99">
        <v>240</v>
      </c>
      <c r="M23" s="115" t="s">
        <v>892</v>
      </c>
    </row>
    <row r="24" spans="1:13">
      <c r="A24" s="101" t="s">
        <v>159</v>
      </c>
      <c r="B24" s="118" t="s">
        <v>732</v>
      </c>
      <c r="C24" s="102">
        <v>45472</v>
      </c>
      <c r="D24" s="101" t="s">
        <v>51</v>
      </c>
      <c r="E24" s="101" t="s">
        <v>59</v>
      </c>
      <c r="F24" s="101" t="s">
        <v>158</v>
      </c>
      <c r="G24" s="99"/>
      <c r="H24" s="99">
        <v>240</v>
      </c>
      <c r="I24" s="99">
        <v>240</v>
      </c>
      <c r="J24" s="99"/>
      <c r="K24" s="99">
        <v>240</v>
      </c>
      <c r="M24" s="115" t="s">
        <v>892</v>
      </c>
    </row>
    <row r="25" spans="1:13">
      <c r="A25" s="101" t="s">
        <v>157</v>
      </c>
      <c r="B25" s="118" t="s">
        <v>732</v>
      </c>
      <c r="C25" s="102">
        <v>45472</v>
      </c>
      <c r="D25" s="101" t="s">
        <v>51</v>
      </c>
      <c r="E25" s="101" t="s">
        <v>71</v>
      </c>
      <c r="F25" s="101" t="s">
        <v>156</v>
      </c>
      <c r="G25" s="99"/>
      <c r="H25" s="99">
        <v>240</v>
      </c>
      <c r="I25" s="99">
        <v>240</v>
      </c>
      <c r="J25" s="99"/>
      <c r="K25" s="99">
        <v>240</v>
      </c>
      <c r="M25" s="115" t="s">
        <v>892</v>
      </c>
    </row>
    <row r="26" spans="1:13">
      <c r="A26" s="101" t="s">
        <v>155</v>
      </c>
      <c r="B26" s="118" t="s">
        <v>732</v>
      </c>
      <c r="C26" s="102">
        <v>45472</v>
      </c>
      <c r="D26" s="101" t="s">
        <v>51</v>
      </c>
      <c r="E26" s="101" t="s">
        <v>62</v>
      </c>
      <c r="F26" s="101" t="s">
        <v>154</v>
      </c>
      <c r="G26" s="99"/>
      <c r="H26" s="99">
        <v>240</v>
      </c>
      <c r="I26" s="99">
        <v>240</v>
      </c>
      <c r="J26" s="99"/>
      <c r="K26" s="99">
        <v>240</v>
      </c>
      <c r="M26" s="115" t="s">
        <v>892</v>
      </c>
    </row>
    <row r="27" spans="1:13">
      <c r="A27" s="101" t="s">
        <v>153</v>
      </c>
      <c r="B27" s="118" t="s">
        <v>732</v>
      </c>
      <c r="C27" s="102">
        <v>45472</v>
      </c>
      <c r="D27" s="101" t="s">
        <v>51</v>
      </c>
      <c r="E27" s="101" t="s">
        <v>56</v>
      </c>
      <c r="F27" s="101" t="s">
        <v>152</v>
      </c>
      <c r="G27" s="99"/>
      <c r="H27" s="99">
        <v>320</v>
      </c>
      <c r="I27" s="99">
        <v>320</v>
      </c>
      <c r="J27" s="99"/>
      <c r="K27" s="99">
        <v>320</v>
      </c>
      <c r="M27" s="115" t="s">
        <v>892</v>
      </c>
    </row>
    <row r="28" spans="1:13">
      <c r="A28" s="101" t="s">
        <v>151</v>
      </c>
      <c r="B28" s="118" t="s">
        <v>732</v>
      </c>
      <c r="C28" s="102">
        <v>45472</v>
      </c>
      <c r="D28" s="101" t="s">
        <v>51</v>
      </c>
      <c r="E28" s="101" t="s">
        <v>94</v>
      </c>
      <c r="F28" s="101" t="s">
        <v>150</v>
      </c>
      <c r="G28" s="99"/>
      <c r="H28" s="99">
        <v>320</v>
      </c>
      <c r="I28" s="99">
        <v>320</v>
      </c>
      <c r="J28" s="99"/>
      <c r="K28" s="99">
        <v>320</v>
      </c>
      <c r="M28" s="115" t="s">
        <v>892</v>
      </c>
    </row>
    <row r="29" spans="1:13" s="96" customFormat="1" ht="15.75" thickBot="1">
      <c r="A29" s="103" t="s">
        <v>149</v>
      </c>
      <c r="B29" s="119" t="s">
        <v>732</v>
      </c>
      <c r="C29" s="104">
        <v>45472</v>
      </c>
      <c r="D29" s="103" t="s">
        <v>51</v>
      </c>
      <c r="E29" s="103" t="s">
        <v>50</v>
      </c>
      <c r="F29" s="103" t="s">
        <v>148</v>
      </c>
      <c r="G29" s="100"/>
      <c r="H29" s="100">
        <v>240</v>
      </c>
      <c r="I29" s="100">
        <v>240</v>
      </c>
      <c r="J29" s="100"/>
      <c r="K29" s="100">
        <v>240</v>
      </c>
      <c r="M29" s="116" t="s">
        <v>892</v>
      </c>
    </row>
    <row r="30" spans="1:13">
      <c r="A30" s="93" t="s">
        <v>147</v>
      </c>
      <c r="B30" s="115" t="s">
        <v>13</v>
      </c>
      <c r="C30" s="94">
        <v>45474</v>
      </c>
      <c r="D30" s="93" t="s">
        <v>51</v>
      </c>
      <c r="E30" s="93" t="s">
        <v>146</v>
      </c>
      <c r="F30" s="93" t="s">
        <v>145</v>
      </c>
      <c r="G30" s="95">
        <v>11018.99</v>
      </c>
      <c r="H30" s="95">
        <v>11100</v>
      </c>
      <c r="I30" s="95">
        <v>22118.99</v>
      </c>
      <c r="J30" s="95"/>
      <c r="K30" s="95">
        <v>22118.99</v>
      </c>
      <c r="L30" s="93" t="s">
        <v>230</v>
      </c>
    </row>
    <row r="31" spans="1:13">
      <c r="A31" s="93" t="s">
        <v>233</v>
      </c>
      <c r="B31" s="115" t="s">
        <v>13</v>
      </c>
      <c r="C31" s="94">
        <v>45478</v>
      </c>
      <c r="D31" s="93" t="s">
        <v>51</v>
      </c>
      <c r="E31" s="93" t="s">
        <v>139</v>
      </c>
      <c r="F31" s="93" t="s">
        <v>144</v>
      </c>
      <c r="G31" s="95">
        <v>16499.45</v>
      </c>
      <c r="H31" s="95">
        <v>3000</v>
      </c>
      <c r="I31" s="95">
        <v>19499.45</v>
      </c>
      <c r="J31" s="95"/>
      <c r="K31" s="95">
        <v>19499.45</v>
      </c>
      <c r="L31" s="93" t="s">
        <v>230</v>
      </c>
    </row>
    <row r="32" spans="1:13">
      <c r="A32" s="93" t="s">
        <v>143</v>
      </c>
      <c r="B32" s="115" t="s">
        <v>13</v>
      </c>
      <c r="C32" s="94">
        <v>45489</v>
      </c>
      <c r="D32" s="93" t="s">
        <v>142</v>
      </c>
      <c r="E32" s="93" t="s">
        <v>141</v>
      </c>
      <c r="F32" s="93" t="s">
        <v>140</v>
      </c>
      <c r="G32" s="95">
        <v>3000</v>
      </c>
      <c r="H32" s="95"/>
      <c r="I32" s="95">
        <v>1750</v>
      </c>
      <c r="J32" s="95">
        <v>1250</v>
      </c>
      <c r="K32" s="95">
        <v>1750</v>
      </c>
      <c r="L32" s="93" t="s">
        <v>232</v>
      </c>
    </row>
    <row r="33" spans="1:13">
      <c r="A33" s="93" t="s">
        <v>138</v>
      </c>
      <c r="B33" s="115" t="s">
        <v>13</v>
      </c>
      <c r="C33" s="94">
        <v>45489</v>
      </c>
      <c r="D33" s="93" t="s">
        <v>137</v>
      </c>
      <c r="E33" s="93" t="s">
        <v>134</v>
      </c>
      <c r="F33" s="93" t="s">
        <v>136</v>
      </c>
      <c r="G33" s="95">
        <v>1600</v>
      </c>
      <c r="H33" s="95"/>
      <c r="I33" s="95">
        <v>1600</v>
      </c>
      <c r="J33" s="95"/>
      <c r="K33" s="95">
        <v>1600</v>
      </c>
      <c r="L33" s="93" t="s">
        <v>232</v>
      </c>
    </row>
    <row r="34" spans="1:13">
      <c r="A34" s="93" t="s">
        <v>135</v>
      </c>
      <c r="B34" s="115" t="s">
        <v>13</v>
      </c>
      <c r="C34" s="94">
        <v>45490</v>
      </c>
      <c r="D34" s="93" t="s">
        <v>51</v>
      </c>
      <c r="E34" s="93" t="s">
        <v>134</v>
      </c>
      <c r="F34" s="93" t="s">
        <v>133</v>
      </c>
      <c r="G34" s="95">
        <v>34108.879999999997</v>
      </c>
      <c r="H34" s="95">
        <v>4140</v>
      </c>
      <c r="I34" s="95">
        <v>38248.879999999997</v>
      </c>
      <c r="J34" s="95"/>
      <c r="K34" s="95">
        <v>38248.879999999997</v>
      </c>
      <c r="L34" s="93" t="s">
        <v>230</v>
      </c>
    </row>
    <row r="35" spans="1:13">
      <c r="A35" s="101" t="s">
        <v>132</v>
      </c>
      <c r="B35" s="118" t="s">
        <v>13</v>
      </c>
      <c r="C35" s="102">
        <v>45498</v>
      </c>
      <c r="D35" s="101" t="s">
        <v>51</v>
      </c>
      <c r="E35" s="101" t="s">
        <v>65</v>
      </c>
      <c r="F35" s="101" t="s">
        <v>131</v>
      </c>
      <c r="G35" s="99"/>
      <c r="H35" s="99">
        <v>1912.4</v>
      </c>
      <c r="I35" s="99">
        <v>1912.4</v>
      </c>
      <c r="J35" s="99"/>
      <c r="K35" s="99">
        <v>1912.4</v>
      </c>
      <c r="M35" s="115" t="s">
        <v>892</v>
      </c>
    </row>
    <row r="36" spans="1:13">
      <c r="A36" s="101" t="s">
        <v>130</v>
      </c>
      <c r="B36" s="118" t="s">
        <v>13</v>
      </c>
      <c r="C36" s="102">
        <v>45498</v>
      </c>
      <c r="D36" s="101" t="s">
        <v>51</v>
      </c>
      <c r="E36" s="101" t="s">
        <v>94</v>
      </c>
      <c r="F36" s="101" t="s">
        <v>129</v>
      </c>
      <c r="G36" s="99"/>
      <c r="H36" s="99">
        <v>776</v>
      </c>
      <c r="I36" s="99">
        <v>776</v>
      </c>
      <c r="J36" s="99"/>
      <c r="K36" s="99">
        <v>776</v>
      </c>
      <c r="M36" s="115" t="s">
        <v>892</v>
      </c>
    </row>
    <row r="37" spans="1:13" s="96" customFormat="1" ht="15.75" thickBot="1">
      <c r="A37" s="96" t="s">
        <v>128</v>
      </c>
      <c r="B37" s="116" t="s">
        <v>13</v>
      </c>
      <c r="C37" s="98">
        <v>45497</v>
      </c>
      <c r="D37" s="96" t="s">
        <v>51</v>
      </c>
      <c r="E37" s="96" t="s">
        <v>127</v>
      </c>
      <c r="F37" s="96" t="s">
        <v>126</v>
      </c>
      <c r="G37" s="97">
        <v>39832.730000000003</v>
      </c>
      <c r="H37" s="97">
        <v>6708</v>
      </c>
      <c r="I37" s="97">
        <v>46540.73</v>
      </c>
      <c r="J37" s="97"/>
      <c r="K37" s="97">
        <v>46540.73</v>
      </c>
      <c r="L37" s="96" t="s">
        <v>230</v>
      </c>
    </row>
    <row r="38" spans="1:13">
      <c r="A38" s="93" t="s">
        <v>125</v>
      </c>
      <c r="B38" s="115" t="s">
        <v>733</v>
      </c>
      <c r="C38" s="94">
        <v>45528</v>
      </c>
      <c r="D38" s="93" t="s">
        <v>51</v>
      </c>
      <c r="E38" s="93" t="s">
        <v>124</v>
      </c>
      <c r="F38" s="93" t="s">
        <v>123</v>
      </c>
      <c r="G38" s="95">
        <v>39559.599999999999</v>
      </c>
      <c r="H38" s="95">
        <v>7800</v>
      </c>
      <c r="I38" s="95">
        <v>47359.6</v>
      </c>
      <c r="J38" s="95"/>
      <c r="K38" s="95">
        <v>47359.6</v>
      </c>
      <c r="L38" s="93" t="s">
        <v>230</v>
      </c>
    </row>
    <row r="39" spans="1:13" s="96" customFormat="1" ht="15.75" thickBot="1">
      <c r="A39" s="96" t="s">
        <v>122</v>
      </c>
      <c r="B39" s="116" t="s">
        <v>733</v>
      </c>
      <c r="C39" s="98">
        <v>45534</v>
      </c>
      <c r="D39" s="96" t="s">
        <v>51</v>
      </c>
      <c r="E39" s="96" t="s">
        <v>121</v>
      </c>
      <c r="F39" s="96" t="s">
        <v>120</v>
      </c>
      <c r="G39" s="97">
        <v>12384.2</v>
      </c>
      <c r="H39" s="97">
        <v>3612</v>
      </c>
      <c r="I39" s="97">
        <v>15996.2</v>
      </c>
      <c r="J39" s="97"/>
      <c r="K39" s="97">
        <v>15996.2</v>
      </c>
      <c r="L39" s="96" t="s">
        <v>230</v>
      </c>
    </row>
    <row r="40" spans="1:13">
      <c r="A40" s="93" t="s">
        <v>119</v>
      </c>
      <c r="B40" s="115" t="s">
        <v>734</v>
      </c>
      <c r="C40" s="94">
        <v>45545</v>
      </c>
      <c r="D40" s="93" t="s">
        <v>51</v>
      </c>
      <c r="E40" s="93" t="s">
        <v>118</v>
      </c>
      <c r="F40" s="93" t="s">
        <v>117</v>
      </c>
      <c r="G40" s="95">
        <v>28810.720000000001</v>
      </c>
      <c r="H40" s="95">
        <v>8880</v>
      </c>
      <c r="I40" s="95">
        <v>37690.720000000001</v>
      </c>
      <c r="J40" s="95"/>
      <c r="K40" s="95">
        <v>37690.720000000001</v>
      </c>
      <c r="L40" s="93" t="s">
        <v>230</v>
      </c>
    </row>
    <row r="41" spans="1:13">
      <c r="A41" s="93" t="s">
        <v>116</v>
      </c>
      <c r="B41" s="115" t="s">
        <v>734</v>
      </c>
      <c r="C41" s="94">
        <v>45554</v>
      </c>
      <c r="D41" s="93" t="s">
        <v>51</v>
      </c>
      <c r="E41" s="93" t="s">
        <v>115</v>
      </c>
      <c r="F41" s="93" t="s">
        <v>114</v>
      </c>
      <c r="G41" s="95">
        <v>9470.31</v>
      </c>
      <c r="H41" s="95">
        <v>2196</v>
      </c>
      <c r="I41" s="95">
        <v>11666.31</v>
      </c>
      <c r="J41" s="95"/>
      <c r="K41" s="95">
        <v>11666.31</v>
      </c>
      <c r="L41" s="93" t="s">
        <v>230</v>
      </c>
    </row>
    <row r="42" spans="1:13">
      <c r="A42" s="93" t="s">
        <v>113</v>
      </c>
      <c r="B42" s="115" t="s">
        <v>734</v>
      </c>
      <c r="C42" s="94">
        <v>45555</v>
      </c>
      <c r="D42" s="93" t="s">
        <v>51</v>
      </c>
      <c r="E42" s="93" t="s">
        <v>112</v>
      </c>
      <c r="F42" s="93" t="s">
        <v>111</v>
      </c>
      <c r="G42" s="95">
        <v>10486.84</v>
      </c>
      <c r="H42" s="95">
        <v>2268</v>
      </c>
      <c r="I42" s="95">
        <v>12754.84</v>
      </c>
      <c r="J42" s="95"/>
      <c r="K42" s="95">
        <v>12754.84</v>
      </c>
      <c r="L42" s="93" t="s">
        <v>230</v>
      </c>
    </row>
    <row r="43" spans="1:13" s="96" customFormat="1" ht="15.75" thickBot="1">
      <c r="A43" s="96" t="s">
        <v>110</v>
      </c>
      <c r="B43" s="116" t="s">
        <v>734</v>
      </c>
      <c r="C43" s="98">
        <v>45560</v>
      </c>
      <c r="D43" s="96" t="s">
        <v>51</v>
      </c>
      <c r="E43" s="96" t="s">
        <v>109</v>
      </c>
      <c r="F43" s="96" t="s">
        <v>108</v>
      </c>
      <c r="G43" s="97">
        <v>18654.28</v>
      </c>
      <c r="H43" s="97">
        <v>4344</v>
      </c>
      <c r="I43" s="97">
        <v>22998.28</v>
      </c>
      <c r="J43" s="97"/>
      <c r="K43" s="97">
        <v>22998.28</v>
      </c>
      <c r="L43" s="96" t="s">
        <v>230</v>
      </c>
    </row>
    <row r="44" spans="1:13">
      <c r="A44" s="93" t="s">
        <v>107</v>
      </c>
      <c r="B44" s="115" t="s">
        <v>735</v>
      </c>
      <c r="C44" s="94">
        <v>45566</v>
      </c>
      <c r="D44" s="93" t="s">
        <v>51</v>
      </c>
      <c r="E44" s="93" t="s">
        <v>106</v>
      </c>
      <c r="F44" s="93" t="s">
        <v>105</v>
      </c>
      <c r="G44" s="95">
        <v>973.08</v>
      </c>
      <c r="H44" s="95">
        <v>420</v>
      </c>
      <c r="I44" s="95">
        <v>1393.08</v>
      </c>
      <c r="J44" s="95"/>
      <c r="K44" s="95">
        <v>1393.08</v>
      </c>
      <c r="L44" s="93" t="s">
        <v>231</v>
      </c>
    </row>
    <row r="45" spans="1:13" s="96" customFormat="1" ht="15.75" thickBot="1">
      <c r="A45" s="96" t="s">
        <v>104</v>
      </c>
      <c r="B45" s="116" t="s">
        <v>735</v>
      </c>
      <c r="C45" s="98">
        <v>45594</v>
      </c>
      <c r="D45" s="96" t="s">
        <v>51</v>
      </c>
      <c r="E45" s="96" t="s">
        <v>103</v>
      </c>
      <c r="F45" s="96" t="s">
        <v>102</v>
      </c>
      <c r="G45" s="97">
        <v>6402.5</v>
      </c>
      <c r="H45" s="97">
        <v>4380</v>
      </c>
      <c r="I45" s="97">
        <v>10782.5</v>
      </c>
      <c r="J45" s="97"/>
      <c r="K45" s="97">
        <v>10782.5</v>
      </c>
      <c r="L45" s="96" t="s">
        <v>230</v>
      </c>
    </row>
    <row r="46" spans="1:13">
      <c r="A46" s="93" t="s">
        <v>101</v>
      </c>
      <c r="B46" s="115" t="s">
        <v>736</v>
      </c>
      <c r="C46" s="94">
        <v>45604</v>
      </c>
      <c r="D46" s="93" t="s">
        <v>51</v>
      </c>
      <c r="E46" s="93" t="s">
        <v>100</v>
      </c>
      <c r="F46" s="93" t="s">
        <v>99</v>
      </c>
      <c r="G46" s="95">
        <v>9898.33</v>
      </c>
      <c r="H46" s="95">
        <v>3540</v>
      </c>
      <c r="I46" s="95">
        <v>13438.33</v>
      </c>
      <c r="J46" s="95"/>
      <c r="K46" s="95">
        <v>13438.33</v>
      </c>
      <c r="L46" s="93" t="s">
        <v>230</v>
      </c>
    </row>
    <row r="47" spans="1:13">
      <c r="A47" s="93" t="s">
        <v>98</v>
      </c>
      <c r="B47" s="115" t="s">
        <v>736</v>
      </c>
      <c r="C47" s="94">
        <v>45612</v>
      </c>
      <c r="D47" s="93" t="s">
        <v>51</v>
      </c>
      <c r="E47" s="93" t="s">
        <v>97</v>
      </c>
      <c r="F47" s="93" t="s">
        <v>96</v>
      </c>
      <c r="G47" s="95">
        <v>73054.52</v>
      </c>
      <c r="H47" s="95">
        <v>7080</v>
      </c>
      <c r="I47" s="95">
        <v>80134.52</v>
      </c>
      <c r="J47" s="95"/>
      <c r="K47" s="95">
        <v>80134.52</v>
      </c>
      <c r="L47" s="93" t="s">
        <v>230</v>
      </c>
    </row>
    <row r="48" spans="1:13">
      <c r="A48" s="134" t="s">
        <v>95</v>
      </c>
      <c r="B48" s="134" t="s">
        <v>736</v>
      </c>
      <c r="C48" s="135">
        <v>45625</v>
      </c>
      <c r="D48" s="134" t="s">
        <v>51</v>
      </c>
      <c r="E48" s="134" t="s">
        <v>94</v>
      </c>
      <c r="F48" s="134" t="s">
        <v>93</v>
      </c>
      <c r="G48" s="136"/>
      <c r="H48" s="136">
        <v>392</v>
      </c>
      <c r="I48" s="136">
        <v>392</v>
      </c>
      <c r="J48" s="136"/>
      <c r="K48" s="136">
        <v>392</v>
      </c>
      <c r="L48" s="106" t="s">
        <v>263</v>
      </c>
      <c r="M48" s="115"/>
    </row>
    <row r="49" spans="1:13">
      <c r="A49" s="134" t="s">
        <v>92</v>
      </c>
      <c r="B49" s="134" t="s">
        <v>736</v>
      </c>
      <c r="C49" s="135">
        <v>45625</v>
      </c>
      <c r="D49" s="134" t="s">
        <v>51</v>
      </c>
      <c r="E49" s="134" t="s">
        <v>65</v>
      </c>
      <c r="F49" s="134" t="s">
        <v>91</v>
      </c>
      <c r="G49" s="136"/>
      <c r="H49" s="136">
        <v>472</v>
      </c>
      <c r="I49" s="136">
        <v>472</v>
      </c>
      <c r="J49" s="136"/>
      <c r="K49" s="136">
        <v>472</v>
      </c>
      <c r="L49" s="106" t="s">
        <v>263</v>
      </c>
      <c r="M49" s="115"/>
    </row>
    <row r="50" spans="1:13">
      <c r="A50" s="134" t="s">
        <v>90</v>
      </c>
      <c r="B50" s="134" t="s">
        <v>736</v>
      </c>
      <c r="C50" s="135">
        <v>45625</v>
      </c>
      <c r="D50" s="134" t="s">
        <v>51</v>
      </c>
      <c r="E50" s="134" t="s">
        <v>50</v>
      </c>
      <c r="F50" s="134" t="s">
        <v>89</v>
      </c>
      <c r="G50" s="136"/>
      <c r="H50" s="136">
        <v>240</v>
      </c>
      <c r="I50" s="136">
        <v>240</v>
      </c>
      <c r="J50" s="136"/>
      <c r="K50" s="136">
        <v>240</v>
      </c>
      <c r="L50" s="106" t="s">
        <v>263</v>
      </c>
      <c r="M50" s="115"/>
    </row>
    <row r="51" spans="1:13">
      <c r="A51" s="134" t="s">
        <v>88</v>
      </c>
      <c r="B51" s="134" t="s">
        <v>736</v>
      </c>
      <c r="C51" s="135">
        <v>45625</v>
      </c>
      <c r="D51" s="134" t="s">
        <v>51</v>
      </c>
      <c r="E51" s="134" t="s">
        <v>59</v>
      </c>
      <c r="F51" s="134" t="s">
        <v>87</v>
      </c>
      <c r="G51" s="136"/>
      <c r="H51" s="136">
        <v>320</v>
      </c>
      <c r="I51" s="136">
        <v>320</v>
      </c>
      <c r="J51" s="136"/>
      <c r="K51" s="136">
        <v>320</v>
      </c>
      <c r="L51" s="106" t="s">
        <v>263</v>
      </c>
      <c r="M51" s="115"/>
    </row>
    <row r="52" spans="1:13">
      <c r="A52" s="134" t="s">
        <v>86</v>
      </c>
      <c r="B52" s="134" t="s">
        <v>736</v>
      </c>
      <c r="C52" s="135">
        <v>45625</v>
      </c>
      <c r="D52" s="134" t="s">
        <v>51</v>
      </c>
      <c r="E52" s="134" t="s">
        <v>68</v>
      </c>
      <c r="F52" s="134" t="s">
        <v>85</v>
      </c>
      <c r="G52" s="136"/>
      <c r="H52" s="136">
        <v>320</v>
      </c>
      <c r="I52" s="136">
        <v>320</v>
      </c>
      <c r="J52" s="136"/>
      <c r="K52" s="136">
        <v>320</v>
      </c>
      <c r="L52" s="106" t="s">
        <v>263</v>
      </c>
      <c r="M52" s="115"/>
    </row>
    <row r="53" spans="1:13">
      <c r="A53" s="134" t="s">
        <v>84</v>
      </c>
      <c r="B53" s="134" t="s">
        <v>736</v>
      </c>
      <c r="C53" s="135">
        <v>45625</v>
      </c>
      <c r="D53" s="134" t="s">
        <v>51</v>
      </c>
      <c r="E53" s="134" t="s">
        <v>62</v>
      </c>
      <c r="F53" s="134" t="s">
        <v>83</v>
      </c>
      <c r="G53" s="136"/>
      <c r="H53" s="136">
        <v>320</v>
      </c>
      <c r="I53" s="136">
        <v>320</v>
      </c>
      <c r="J53" s="136"/>
      <c r="K53" s="136">
        <v>320</v>
      </c>
      <c r="L53" s="106" t="s">
        <v>263</v>
      </c>
      <c r="M53" s="115"/>
    </row>
    <row r="54" spans="1:13">
      <c r="A54" s="134" t="s">
        <v>82</v>
      </c>
      <c r="B54" s="134" t="s">
        <v>736</v>
      </c>
      <c r="C54" s="135">
        <v>45625</v>
      </c>
      <c r="D54" s="134" t="s">
        <v>51</v>
      </c>
      <c r="E54" s="134" t="s">
        <v>56</v>
      </c>
      <c r="F54" s="134" t="s">
        <v>81</v>
      </c>
      <c r="G54" s="136"/>
      <c r="H54" s="136">
        <v>656</v>
      </c>
      <c r="I54" s="136">
        <v>656</v>
      </c>
      <c r="J54" s="136"/>
      <c r="K54" s="136">
        <v>656</v>
      </c>
      <c r="L54" s="106" t="s">
        <v>263</v>
      </c>
      <c r="M54" s="115"/>
    </row>
    <row r="55" spans="1:13" s="96" customFormat="1" ht="15.75" thickBot="1">
      <c r="A55" s="137" t="s">
        <v>80</v>
      </c>
      <c r="B55" s="137" t="s">
        <v>736</v>
      </c>
      <c r="C55" s="138">
        <v>45625</v>
      </c>
      <c r="D55" s="137" t="s">
        <v>51</v>
      </c>
      <c r="E55" s="137" t="s">
        <v>71</v>
      </c>
      <c r="F55" s="137" t="s">
        <v>79</v>
      </c>
      <c r="G55" s="139"/>
      <c r="H55" s="139">
        <v>736</v>
      </c>
      <c r="I55" s="139">
        <v>736</v>
      </c>
      <c r="J55" s="139"/>
      <c r="K55" s="139">
        <v>736</v>
      </c>
      <c r="L55" s="137" t="s">
        <v>263</v>
      </c>
      <c r="M55" s="116"/>
    </row>
    <row r="56" spans="1:13">
      <c r="A56" s="93" t="s">
        <v>78</v>
      </c>
      <c r="B56" s="115" t="s">
        <v>737</v>
      </c>
      <c r="C56" s="94">
        <v>45637</v>
      </c>
      <c r="D56" s="93" t="s">
        <v>51</v>
      </c>
      <c r="E56" s="93" t="s">
        <v>77</v>
      </c>
      <c r="F56" s="93" t="s">
        <v>76</v>
      </c>
      <c r="G56" s="95">
        <v>973.08</v>
      </c>
      <c r="H56" s="95">
        <v>420</v>
      </c>
      <c r="I56" s="95">
        <v>1393.08</v>
      </c>
      <c r="J56" s="95"/>
      <c r="K56" s="95">
        <v>1393.08</v>
      </c>
      <c r="L56" s="93" t="s">
        <v>231</v>
      </c>
    </row>
    <row r="57" spans="1:13">
      <c r="A57" s="93" t="s">
        <v>75</v>
      </c>
      <c r="B57" s="115" t="s">
        <v>737</v>
      </c>
      <c r="C57" s="94">
        <v>45637</v>
      </c>
      <c r="D57" s="93" t="s">
        <v>51</v>
      </c>
      <c r="E57" s="93" t="s">
        <v>74</v>
      </c>
      <c r="F57" s="93" t="s">
        <v>73</v>
      </c>
      <c r="G57" s="95">
        <v>1045.01</v>
      </c>
      <c r="H57" s="95">
        <v>262.2</v>
      </c>
      <c r="I57" s="95">
        <v>1307.21</v>
      </c>
      <c r="J57" s="95"/>
      <c r="K57" s="95">
        <v>1307.21</v>
      </c>
      <c r="L57" s="93" t="s">
        <v>230</v>
      </c>
    </row>
    <row r="58" spans="1:13">
      <c r="A58" s="101" t="s">
        <v>72</v>
      </c>
      <c r="B58" s="118" t="s">
        <v>737</v>
      </c>
      <c r="C58" s="102">
        <v>45657</v>
      </c>
      <c r="D58" s="101" t="s">
        <v>51</v>
      </c>
      <c r="E58" s="101" t="s">
        <v>71</v>
      </c>
      <c r="F58" s="101" t="s">
        <v>70</v>
      </c>
      <c r="G58" s="99">
        <v>68.06</v>
      </c>
      <c r="H58" s="99">
        <v>64</v>
      </c>
      <c r="I58" s="99">
        <v>132.06</v>
      </c>
      <c r="J58" s="99"/>
      <c r="K58" s="99">
        <v>132.06</v>
      </c>
      <c r="M58" s="115" t="s">
        <v>892</v>
      </c>
    </row>
    <row r="59" spans="1:13">
      <c r="A59" s="101" t="s">
        <v>69</v>
      </c>
      <c r="B59" s="118" t="s">
        <v>737</v>
      </c>
      <c r="C59" s="102">
        <v>45657</v>
      </c>
      <c r="D59" s="101" t="s">
        <v>51</v>
      </c>
      <c r="E59" s="101" t="s">
        <v>68</v>
      </c>
      <c r="F59" s="101" t="s">
        <v>67</v>
      </c>
      <c r="G59" s="99">
        <v>338.64</v>
      </c>
      <c r="H59" s="99">
        <v>64</v>
      </c>
      <c r="I59" s="99">
        <v>402.64</v>
      </c>
      <c r="J59" s="99"/>
      <c r="K59" s="99">
        <v>402.64</v>
      </c>
      <c r="M59" s="115" t="s">
        <v>892</v>
      </c>
    </row>
    <row r="60" spans="1:13">
      <c r="A60" s="101" t="s">
        <v>66</v>
      </c>
      <c r="B60" s="118" t="s">
        <v>737</v>
      </c>
      <c r="C60" s="102">
        <v>45657</v>
      </c>
      <c r="D60" s="101" t="s">
        <v>51</v>
      </c>
      <c r="E60" s="101" t="s">
        <v>65</v>
      </c>
      <c r="F60" s="101" t="s">
        <v>64</v>
      </c>
      <c r="G60" s="99">
        <v>760.28</v>
      </c>
      <c r="H60" s="99">
        <v>64</v>
      </c>
      <c r="I60" s="99">
        <v>824.28</v>
      </c>
      <c r="J60" s="99"/>
      <c r="K60" s="99">
        <v>824.28</v>
      </c>
      <c r="M60" s="115" t="s">
        <v>892</v>
      </c>
    </row>
    <row r="61" spans="1:13">
      <c r="A61" s="101" t="s">
        <v>63</v>
      </c>
      <c r="B61" s="118" t="s">
        <v>737</v>
      </c>
      <c r="C61" s="102">
        <v>45657</v>
      </c>
      <c r="D61" s="101" t="s">
        <v>51</v>
      </c>
      <c r="E61" s="101" t="s">
        <v>62</v>
      </c>
      <c r="F61" s="101" t="s">
        <v>61</v>
      </c>
      <c r="G61" s="99">
        <v>76.36</v>
      </c>
      <c r="H61" s="99">
        <v>64</v>
      </c>
      <c r="I61" s="99">
        <v>140.36000000000001</v>
      </c>
      <c r="J61" s="99"/>
      <c r="K61" s="99">
        <v>140.36000000000001</v>
      </c>
      <c r="M61" s="115" t="s">
        <v>892</v>
      </c>
    </row>
    <row r="62" spans="1:13">
      <c r="A62" s="101" t="s">
        <v>60</v>
      </c>
      <c r="B62" s="118" t="s">
        <v>737</v>
      </c>
      <c r="C62" s="102">
        <v>45657</v>
      </c>
      <c r="D62" s="101" t="s">
        <v>51</v>
      </c>
      <c r="E62" s="101" t="s">
        <v>59</v>
      </c>
      <c r="F62" s="101" t="s">
        <v>58</v>
      </c>
      <c r="G62" s="99">
        <v>380.14</v>
      </c>
      <c r="H62" s="99">
        <v>64</v>
      </c>
      <c r="I62" s="99">
        <v>444.14</v>
      </c>
      <c r="J62" s="99"/>
      <c r="K62" s="99">
        <v>444.14</v>
      </c>
      <c r="M62" s="115" t="s">
        <v>892</v>
      </c>
    </row>
    <row r="63" spans="1:13">
      <c r="A63" s="101" t="s">
        <v>57</v>
      </c>
      <c r="B63" s="118" t="s">
        <v>737</v>
      </c>
      <c r="C63" s="102">
        <v>45657</v>
      </c>
      <c r="D63" s="101" t="s">
        <v>51</v>
      </c>
      <c r="E63" s="101" t="s">
        <v>56</v>
      </c>
      <c r="F63" s="101" t="s">
        <v>55</v>
      </c>
      <c r="G63" s="99">
        <v>730.4</v>
      </c>
      <c r="H63" s="99">
        <v>64</v>
      </c>
      <c r="I63" s="99">
        <v>794.4</v>
      </c>
      <c r="J63" s="99"/>
      <c r="K63" s="99">
        <v>794.4</v>
      </c>
      <c r="M63" s="115" t="s">
        <v>892</v>
      </c>
    </row>
    <row r="64" spans="1:13">
      <c r="A64" s="101" t="s">
        <v>54</v>
      </c>
      <c r="B64" s="118" t="s">
        <v>737</v>
      </c>
      <c r="C64" s="102">
        <v>45657</v>
      </c>
      <c r="D64" s="101" t="s">
        <v>51</v>
      </c>
      <c r="E64" s="101" t="s">
        <v>50</v>
      </c>
      <c r="F64" s="101" t="s">
        <v>53</v>
      </c>
      <c r="G64" s="99">
        <v>29.88</v>
      </c>
      <c r="H64" s="99">
        <v>64</v>
      </c>
      <c r="I64" s="99">
        <v>93.88</v>
      </c>
      <c r="J64" s="99"/>
      <c r="K64" s="99">
        <v>93.88</v>
      </c>
      <c r="M64" s="115" t="s">
        <v>892</v>
      </c>
    </row>
    <row r="65" spans="1:13">
      <c r="A65" s="101" t="s">
        <v>52</v>
      </c>
      <c r="B65" s="118" t="s">
        <v>737</v>
      </c>
      <c r="C65" s="102">
        <v>45657</v>
      </c>
      <c r="D65" s="101" t="s">
        <v>51</v>
      </c>
      <c r="E65" s="101" t="s">
        <v>50</v>
      </c>
      <c r="F65" s="101" t="s">
        <v>49</v>
      </c>
      <c r="G65" s="99"/>
      <c r="H65" s="99">
        <v>1168</v>
      </c>
      <c r="I65" s="99">
        <v>1168</v>
      </c>
      <c r="J65" s="99"/>
      <c r="K65" s="99">
        <v>1168</v>
      </c>
      <c r="M65" s="115" t="s">
        <v>892</v>
      </c>
    </row>
    <row r="66" spans="1:13">
      <c r="M66" s="115"/>
    </row>
    <row r="67" spans="1:13" ht="15.75" thickBot="1">
      <c r="K67" s="127">
        <f>SUM(K2:K66)</f>
        <v>714941.41999999993</v>
      </c>
      <c r="L67" s="128">
        <f>K67-SUM(K22:K29,K35:K36,K48:K55,K58:K65)</f>
        <v>702049.05999999994</v>
      </c>
      <c r="M67" s="115"/>
    </row>
    <row r="68" spans="1:13" ht="15.75" thickTop="1"/>
    <row r="73" spans="1:13">
      <c r="A73" s="17" t="s">
        <v>893</v>
      </c>
      <c r="B73" s="105"/>
      <c r="C73"/>
      <c r="D73"/>
      <c r="E73" s="50"/>
      <c r="F73" s="50"/>
    </row>
    <row r="74" spans="1:13">
      <c r="A74" t="s">
        <v>229</v>
      </c>
      <c r="B74" s="115" t="s">
        <v>856</v>
      </c>
      <c r="C74" s="105" t="s">
        <v>228</v>
      </c>
      <c r="D74" t="s">
        <v>227</v>
      </c>
      <c r="E74" t="s">
        <v>894</v>
      </c>
      <c r="F74" s="50" t="s">
        <v>29</v>
      </c>
      <c r="G74" s="50" t="s">
        <v>895</v>
      </c>
      <c r="H74" s="115" t="s">
        <v>725</v>
      </c>
    </row>
    <row r="75" spans="1:13">
      <c r="A75" t="s">
        <v>896</v>
      </c>
      <c r="B75" s="115" t="s">
        <v>728</v>
      </c>
      <c r="C75" s="105">
        <v>45301</v>
      </c>
      <c r="D75" t="s">
        <v>51</v>
      </c>
      <c r="E75" t="s">
        <v>216</v>
      </c>
      <c r="F75" s="50">
        <v>6366.9</v>
      </c>
      <c r="G75" s="50">
        <v>6366.9</v>
      </c>
      <c r="H75" s="120" t="s">
        <v>230</v>
      </c>
    </row>
    <row r="76" spans="1:13">
      <c r="A76" t="s">
        <v>897</v>
      </c>
      <c r="B76" s="115" t="s">
        <v>728</v>
      </c>
      <c r="C76" s="105">
        <v>45322</v>
      </c>
      <c r="D76" t="s">
        <v>742</v>
      </c>
      <c r="E76" t="s">
        <v>898</v>
      </c>
      <c r="F76" s="50">
        <v>0</v>
      </c>
      <c r="G76" s="50">
        <v>0</v>
      </c>
      <c r="H76"/>
    </row>
    <row r="77" spans="1:13">
      <c r="A77" t="s">
        <v>899</v>
      </c>
      <c r="B77" s="115" t="s">
        <v>730</v>
      </c>
      <c r="C77" s="105">
        <v>45385</v>
      </c>
      <c r="D77" t="s">
        <v>51</v>
      </c>
      <c r="E77" t="s">
        <v>194</v>
      </c>
      <c r="F77" s="50">
        <v>5700</v>
      </c>
      <c r="G77" s="50">
        <v>5700</v>
      </c>
      <c r="H77" s="120" t="s">
        <v>230</v>
      </c>
    </row>
    <row r="78" spans="1:13">
      <c r="A78" t="s">
        <v>900</v>
      </c>
      <c r="B78" s="115" t="s">
        <v>731</v>
      </c>
      <c r="C78" s="105">
        <v>45425</v>
      </c>
      <c r="D78" t="s">
        <v>51</v>
      </c>
      <c r="E78" t="s">
        <v>901</v>
      </c>
      <c r="F78" s="50">
        <v>912</v>
      </c>
      <c r="G78" s="50">
        <v>912</v>
      </c>
      <c r="H78" s="120" t="s">
        <v>230</v>
      </c>
    </row>
    <row r="79" spans="1:13">
      <c r="A79" t="s">
        <v>902</v>
      </c>
      <c r="B79" s="115" t="s">
        <v>732</v>
      </c>
      <c r="C79" s="105">
        <v>45463</v>
      </c>
      <c r="D79" t="s">
        <v>51</v>
      </c>
      <c r="E79" t="s">
        <v>903</v>
      </c>
      <c r="F79" s="50">
        <v>950</v>
      </c>
      <c r="G79" s="50">
        <v>950</v>
      </c>
      <c r="H79" s="120" t="s">
        <v>230</v>
      </c>
    </row>
    <row r="80" spans="1:13">
      <c r="A80" t="s">
        <v>904</v>
      </c>
      <c r="B80" s="115" t="s">
        <v>732</v>
      </c>
      <c r="C80" s="105">
        <v>45463</v>
      </c>
      <c r="D80" t="s">
        <v>51</v>
      </c>
      <c r="E80" t="s">
        <v>905</v>
      </c>
      <c r="F80" s="50">
        <v>950</v>
      </c>
      <c r="G80" s="50">
        <v>950</v>
      </c>
      <c r="H80" s="120" t="s">
        <v>230</v>
      </c>
    </row>
    <row r="81" spans="1:8">
      <c r="A81" t="s">
        <v>906</v>
      </c>
      <c r="B81" s="115" t="s">
        <v>732</v>
      </c>
      <c r="C81" s="105">
        <v>45467</v>
      </c>
      <c r="D81" t="s">
        <v>51</v>
      </c>
      <c r="E81" t="s">
        <v>139</v>
      </c>
      <c r="F81" s="50">
        <v>9500</v>
      </c>
      <c r="G81" s="50">
        <v>9500</v>
      </c>
      <c r="H81" s="120" t="s">
        <v>230</v>
      </c>
    </row>
    <row r="82" spans="1:8">
      <c r="A82" t="s">
        <v>907</v>
      </c>
      <c r="B82" s="115" t="s">
        <v>13</v>
      </c>
      <c r="C82" s="105">
        <v>45498</v>
      </c>
      <c r="D82" t="s">
        <v>51</v>
      </c>
      <c r="E82" t="s">
        <v>903</v>
      </c>
      <c r="F82" s="50">
        <v>237.5</v>
      </c>
      <c r="G82" s="50">
        <v>237.5</v>
      </c>
      <c r="H82" s="120" t="s">
        <v>230</v>
      </c>
    </row>
    <row r="83" spans="1:8">
      <c r="A83" t="s">
        <v>908</v>
      </c>
      <c r="B83" s="115" t="s">
        <v>733</v>
      </c>
      <c r="C83" s="105">
        <v>45510</v>
      </c>
      <c r="D83" t="s">
        <v>51</v>
      </c>
      <c r="E83" t="s">
        <v>909</v>
      </c>
      <c r="F83" s="50">
        <v>3469</v>
      </c>
      <c r="G83" s="50">
        <v>3469</v>
      </c>
      <c r="H83" s="120" t="s">
        <v>230</v>
      </c>
    </row>
    <row r="84" spans="1:8">
      <c r="A84" t="s">
        <v>910</v>
      </c>
      <c r="B84" s="115" t="s">
        <v>733</v>
      </c>
      <c r="C84" s="105">
        <v>45510</v>
      </c>
      <c r="D84" t="s">
        <v>51</v>
      </c>
      <c r="E84" t="s">
        <v>905</v>
      </c>
      <c r="F84" s="50">
        <v>1960</v>
      </c>
      <c r="G84" s="50">
        <v>1960</v>
      </c>
      <c r="H84" s="120" t="s">
        <v>230</v>
      </c>
    </row>
    <row r="85" spans="1:8">
      <c r="A85" t="s">
        <v>911</v>
      </c>
      <c r="B85" s="115" t="s">
        <v>733</v>
      </c>
      <c r="C85" s="105">
        <v>45518</v>
      </c>
      <c r="D85" t="s">
        <v>51</v>
      </c>
      <c r="E85" t="s">
        <v>909</v>
      </c>
      <c r="F85" s="50">
        <v>3591</v>
      </c>
      <c r="G85" s="50">
        <v>3591</v>
      </c>
      <c r="H85" s="120" t="s">
        <v>230</v>
      </c>
    </row>
    <row r="86" spans="1:8">
      <c r="A86" t="s">
        <v>912</v>
      </c>
      <c r="B86" s="115" t="s">
        <v>733</v>
      </c>
      <c r="C86" s="105">
        <v>45533</v>
      </c>
      <c r="D86" t="s">
        <v>51</v>
      </c>
      <c r="E86" t="s">
        <v>913</v>
      </c>
      <c r="F86" s="50">
        <v>1900</v>
      </c>
      <c r="G86" s="50">
        <v>1900</v>
      </c>
      <c r="H86" s="120" t="s">
        <v>230</v>
      </c>
    </row>
    <row r="87" spans="1:8">
      <c r="A87" t="s">
        <v>914</v>
      </c>
      <c r="B87" s="115" t="s">
        <v>733</v>
      </c>
      <c r="C87" s="105">
        <v>45533</v>
      </c>
      <c r="D87" t="s">
        <v>51</v>
      </c>
      <c r="E87" t="s">
        <v>913</v>
      </c>
      <c r="F87" s="50">
        <v>750</v>
      </c>
      <c r="G87" s="50">
        <v>750</v>
      </c>
      <c r="H87" s="120" t="s">
        <v>230</v>
      </c>
    </row>
    <row r="88" spans="1:8">
      <c r="A88" t="s">
        <v>915</v>
      </c>
      <c r="B88" s="115" t="s">
        <v>734</v>
      </c>
      <c r="C88" s="105">
        <v>45541</v>
      </c>
      <c r="D88" t="s">
        <v>51</v>
      </c>
      <c r="E88" t="s">
        <v>916</v>
      </c>
      <c r="F88" s="50">
        <v>4562</v>
      </c>
      <c r="G88" s="50">
        <v>4562</v>
      </c>
      <c r="H88" s="120" t="s">
        <v>230</v>
      </c>
    </row>
    <row r="89" spans="1:8">
      <c r="A89" t="s">
        <v>917</v>
      </c>
      <c r="B89" s="115" t="s">
        <v>738</v>
      </c>
      <c r="C89" s="105">
        <v>45363</v>
      </c>
      <c r="D89" t="s">
        <v>742</v>
      </c>
      <c r="E89" t="s">
        <v>918</v>
      </c>
      <c r="F89" s="50">
        <v>0</v>
      </c>
      <c r="G89" s="50">
        <v>0</v>
      </c>
      <c r="H89"/>
    </row>
    <row r="90" spans="1:8">
      <c r="A90" t="s">
        <v>919</v>
      </c>
      <c r="B90" s="115" t="s">
        <v>738</v>
      </c>
      <c r="C90" s="105">
        <v>45363</v>
      </c>
      <c r="D90" t="s">
        <v>742</v>
      </c>
      <c r="E90" t="s">
        <v>918</v>
      </c>
      <c r="F90" s="50">
        <v>0</v>
      </c>
      <c r="G90" s="50">
        <v>0</v>
      </c>
      <c r="H90"/>
    </row>
    <row r="91" spans="1:8">
      <c r="A91" t="s">
        <v>920</v>
      </c>
      <c r="B91" s="115" t="s">
        <v>738</v>
      </c>
      <c r="C91" s="105">
        <v>45363</v>
      </c>
      <c r="D91" t="s">
        <v>742</v>
      </c>
      <c r="E91" t="s">
        <v>918</v>
      </c>
      <c r="F91" s="50">
        <v>0</v>
      </c>
      <c r="G91" s="50">
        <v>0</v>
      </c>
      <c r="H91"/>
    </row>
    <row r="92" spans="1:8">
      <c r="A92" t="s">
        <v>921</v>
      </c>
      <c r="B92" s="115" t="s">
        <v>738</v>
      </c>
      <c r="C92" s="105">
        <v>45363</v>
      </c>
      <c r="D92" t="s">
        <v>742</v>
      </c>
      <c r="E92" t="s">
        <v>918</v>
      </c>
      <c r="F92" s="50">
        <v>0</v>
      </c>
      <c r="G92" s="50">
        <v>0</v>
      </c>
      <c r="H92"/>
    </row>
    <row r="93" spans="1:8">
      <c r="A93" t="s">
        <v>922</v>
      </c>
      <c r="B93" s="115" t="s">
        <v>738</v>
      </c>
      <c r="C93" s="105">
        <v>45363</v>
      </c>
      <c r="D93" t="s">
        <v>742</v>
      </c>
      <c r="E93" t="s">
        <v>918</v>
      </c>
      <c r="F93" s="50">
        <v>0</v>
      </c>
      <c r="G93" s="50">
        <v>0</v>
      </c>
      <c r="H93"/>
    </row>
    <row r="94" spans="1:8">
      <c r="A94" t="s">
        <v>923</v>
      </c>
      <c r="B94" s="115" t="s">
        <v>738</v>
      </c>
      <c r="C94" s="105">
        <v>45363</v>
      </c>
      <c r="D94" t="s">
        <v>742</v>
      </c>
      <c r="E94" t="s">
        <v>918</v>
      </c>
      <c r="F94" s="50">
        <v>0</v>
      </c>
      <c r="G94" s="50">
        <v>0</v>
      </c>
      <c r="H94"/>
    </row>
    <row r="95" spans="1:8">
      <c r="A95" t="s">
        <v>924</v>
      </c>
      <c r="B95" s="115" t="s">
        <v>738</v>
      </c>
      <c r="C95" s="105">
        <v>45363</v>
      </c>
      <c r="D95" t="s">
        <v>742</v>
      </c>
      <c r="E95" t="s">
        <v>918</v>
      </c>
      <c r="F95" s="50">
        <v>0</v>
      </c>
      <c r="G95" s="50">
        <v>0</v>
      </c>
      <c r="H95"/>
    </row>
    <row r="96" spans="1:8">
      <c r="A96" t="s">
        <v>925</v>
      </c>
      <c r="B96" s="115" t="s">
        <v>731</v>
      </c>
      <c r="C96" s="105">
        <v>45420</v>
      </c>
      <c r="D96" t="s">
        <v>742</v>
      </c>
      <c r="E96" t="s">
        <v>918</v>
      </c>
      <c r="F96" s="50">
        <v>0</v>
      </c>
      <c r="G96" s="50">
        <v>0</v>
      </c>
      <c r="H96"/>
    </row>
    <row r="97" spans="1:8">
      <c r="A97" t="s">
        <v>926</v>
      </c>
      <c r="B97" s="115" t="s">
        <v>731</v>
      </c>
      <c r="C97" s="105">
        <v>45420</v>
      </c>
      <c r="D97" t="s">
        <v>742</v>
      </c>
      <c r="E97" t="s">
        <v>918</v>
      </c>
      <c r="F97" s="50">
        <v>0</v>
      </c>
      <c r="G97" s="50">
        <v>0</v>
      </c>
      <c r="H97"/>
    </row>
    <row r="98" spans="1:8">
      <c r="A98" t="s">
        <v>927</v>
      </c>
      <c r="B98" s="115" t="s">
        <v>735</v>
      </c>
      <c r="C98" s="105">
        <v>45574</v>
      </c>
      <c r="D98" t="s">
        <v>51</v>
      </c>
      <c r="E98" t="s">
        <v>903</v>
      </c>
      <c r="F98" s="50">
        <v>3277.5</v>
      </c>
      <c r="G98" s="50">
        <v>3277.5</v>
      </c>
      <c r="H98" s="120" t="s">
        <v>230</v>
      </c>
    </row>
    <row r="99" spans="1:8">
      <c r="A99" t="s">
        <v>928</v>
      </c>
      <c r="B99" s="115" t="s">
        <v>736</v>
      </c>
      <c r="C99" s="105">
        <v>45600</v>
      </c>
      <c r="D99" t="s">
        <v>51</v>
      </c>
      <c r="E99" t="s">
        <v>139</v>
      </c>
      <c r="F99" s="50">
        <v>8521.26</v>
      </c>
      <c r="G99" s="50">
        <v>8521.26</v>
      </c>
      <c r="H99" s="120" t="s">
        <v>230</v>
      </c>
    </row>
    <row r="100" spans="1:8">
      <c r="A100" t="s">
        <v>929</v>
      </c>
      <c r="B100" s="115" t="s">
        <v>737</v>
      </c>
      <c r="C100" s="105">
        <v>45657</v>
      </c>
      <c r="D100" t="s">
        <v>51</v>
      </c>
      <c r="E100" t="s">
        <v>930</v>
      </c>
      <c r="F100" s="50">
        <v>2090</v>
      </c>
      <c r="G100" s="50">
        <v>2090</v>
      </c>
      <c r="H100" s="120" t="s">
        <v>230</v>
      </c>
    </row>
    <row r="101" spans="1:8">
      <c r="A101" t="s">
        <v>931</v>
      </c>
      <c r="B101" s="115" t="s">
        <v>728</v>
      </c>
      <c r="C101" s="105">
        <v>45302</v>
      </c>
      <c r="D101" t="s">
        <v>742</v>
      </c>
      <c r="E101" t="s">
        <v>932</v>
      </c>
      <c r="F101" s="50">
        <v>0</v>
      </c>
      <c r="G101" s="50">
        <v>0</v>
      </c>
      <c r="H101"/>
    </row>
    <row r="102" spans="1:8">
      <c r="A102" t="s">
        <v>933</v>
      </c>
      <c r="B102" s="115" t="s">
        <v>728</v>
      </c>
      <c r="C102" s="105">
        <v>45307</v>
      </c>
      <c r="D102" t="s">
        <v>742</v>
      </c>
      <c r="E102" t="s">
        <v>932</v>
      </c>
      <c r="F102" s="50">
        <v>0</v>
      </c>
      <c r="G102" s="50">
        <v>0</v>
      </c>
      <c r="H102"/>
    </row>
    <row r="103" spans="1:8">
      <c r="A103" t="s">
        <v>934</v>
      </c>
      <c r="B103" s="115" t="s">
        <v>728</v>
      </c>
      <c r="C103" s="105">
        <v>45317</v>
      </c>
      <c r="D103" t="s">
        <v>742</v>
      </c>
      <c r="E103" t="s">
        <v>898</v>
      </c>
      <c r="F103" s="50">
        <v>0</v>
      </c>
      <c r="G103" s="50">
        <v>0</v>
      </c>
      <c r="H103"/>
    </row>
    <row r="105" spans="1:8" ht="15.75" thickBot="1">
      <c r="G105" s="140">
        <f>SUM(G75:G104)</f>
        <v>54737.16</v>
      </c>
    </row>
    <row r="106" spans="1:8" ht="15.75" thickTop="1"/>
  </sheetData>
  <autoFilter ref="A74:M103" xr:uid="{26A159E2-BB4E-4D02-BDEB-E675A537C96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0AF3E-7066-403E-8711-96D2381EFD18}">
  <dimension ref="A1:L46"/>
  <sheetViews>
    <sheetView workbookViewId="0">
      <selection activeCell="J211" sqref="J211"/>
    </sheetView>
  </sheetViews>
  <sheetFormatPr defaultRowHeight="15"/>
  <cols>
    <col min="1" max="1" width="12.85546875" bestFit="1" customWidth="1"/>
    <col min="2" max="2" width="12.85546875" customWidth="1"/>
    <col min="3" max="3" width="10.7109375" style="105" bestFit="1" customWidth="1"/>
    <col min="4" max="4" width="33.85546875" bestFit="1" customWidth="1"/>
    <col min="6" max="6" width="14.7109375" bestFit="1" customWidth="1"/>
    <col min="7" max="10" width="9.140625" style="50"/>
    <col min="11" max="11" width="10" style="50" bestFit="1" customWidth="1"/>
  </cols>
  <sheetData>
    <row r="1" spans="1:12">
      <c r="A1" t="s">
        <v>229</v>
      </c>
      <c r="B1" s="120" t="s">
        <v>856</v>
      </c>
      <c r="C1" s="105" t="s">
        <v>228</v>
      </c>
      <c r="D1" t="s">
        <v>227</v>
      </c>
      <c r="E1" t="s">
        <v>226</v>
      </c>
      <c r="F1" t="s">
        <v>225</v>
      </c>
      <c r="G1" s="50" t="s">
        <v>224</v>
      </c>
      <c r="H1" s="50" t="s">
        <v>223</v>
      </c>
      <c r="I1" s="50" t="s">
        <v>222</v>
      </c>
      <c r="J1" s="50" t="s">
        <v>741</v>
      </c>
      <c r="K1" s="50" t="s">
        <v>29</v>
      </c>
    </row>
    <row r="2" spans="1:12">
      <c r="A2" t="s">
        <v>743</v>
      </c>
      <c r="B2" s="120" t="s">
        <v>728</v>
      </c>
      <c r="C2" s="105">
        <v>45304</v>
      </c>
      <c r="D2" t="s">
        <v>744</v>
      </c>
      <c r="E2" t="s">
        <v>745</v>
      </c>
      <c r="F2" t="s">
        <v>746</v>
      </c>
      <c r="I2" s="50">
        <v>0</v>
      </c>
      <c r="J2" s="50">
        <v>0</v>
      </c>
      <c r="K2" s="50">
        <v>0</v>
      </c>
    </row>
    <row r="3" spans="1:12">
      <c r="A3" t="s">
        <v>747</v>
      </c>
      <c r="B3" s="120" t="s">
        <v>728</v>
      </c>
      <c r="C3" s="105">
        <v>45306</v>
      </c>
      <c r="D3" t="s">
        <v>748</v>
      </c>
      <c r="E3" t="s">
        <v>749</v>
      </c>
      <c r="F3" t="s">
        <v>750</v>
      </c>
      <c r="G3" s="50">
        <v>789.67</v>
      </c>
      <c r="H3" s="50">
        <v>240</v>
      </c>
      <c r="I3" s="50">
        <v>1029.67</v>
      </c>
      <c r="J3" s="50">
        <v>0</v>
      </c>
      <c r="K3" s="50">
        <v>1029.67</v>
      </c>
      <c r="L3" s="120" t="s">
        <v>26</v>
      </c>
    </row>
    <row r="4" spans="1:12">
      <c r="A4" t="s">
        <v>751</v>
      </c>
      <c r="B4" s="120" t="s">
        <v>728</v>
      </c>
      <c r="C4" s="105">
        <v>45311</v>
      </c>
      <c r="D4" t="s">
        <v>752</v>
      </c>
      <c r="E4" t="s">
        <v>753</v>
      </c>
      <c r="F4" t="s">
        <v>754</v>
      </c>
      <c r="G4" s="50">
        <v>304.97000000000003</v>
      </c>
      <c r="H4" s="50">
        <v>114</v>
      </c>
      <c r="I4" s="50">
        <v>419</v>
      </c>
      <c r="J4" s="50">
        <v>0.03</v>
      </c>
      <c r="K4" s="50">
        <v>419</v>
      </c>
      <c r="L4" s="120" t="s">
        <v>26</v>
      </c>
    </row>
    <row r="5" spans="1:12">
      <c r="A5" t="s">
        <v>755</v>
      </c>
      <c r="B5" s="120" t="s">
        <v>738</v>
      </c>
      <c r="C5" s="105">
        <v>45352</v>
      </c>
      <c r="D5" t="s">
        <v>748</v>
      </c>
      <c r="E5" t="s">
        <v>756</v>
      </c>
      <c r="F5" t="s">
        <v>757</v>
      </c>
      <c r="I5" s="50">
        <v>0</v>
      </c>
      <c r="J5" s="50">
        <v>0</v>
      </c>
      <c r="K5" s="50">
        <v>0</v>
      </c>
    </row>
    <row r="6" spans="1:12">
      <c r="A6" t="s">
        <v>758</v>
      </c>
      <c r="B6" s="120" t="s">
        <v>738</v>
      </c>
      <c r="C6" s="105">
        <v>45359</v>
      </c>
      <c r="D6" t="s">
        <v>759</v>
      </c>
      <c r="E6" t="s">
        <v>760</v>
      </c>
      <c r="F6" t="s">
        <v>761</v>
      </c>
      <c r="I6" s="50">
        <v>0</v>
      </c>
      <c r="J6" s="50">
        <v>0</v>
      </c>
      <c r="K6" s="50">
        <v>0</v>
      </c>
    </row>
    <row r="7" spans="1:12">
      <c r="A7" t="s">
        <v>762</v>
      </c>
      <c r="B7" s="120" t="s">
        <v>738</v>
      </c>
      <c r="C7" s="105">
        <v>45359</v>
      </c>
      <c r="D7" t="s">
        <v>763</v>
      </c>
      <c r="E7" t="s">
        <v>764</v>
      </c>
      <c r="F7" t="s">
        <v>765</v>
      </c>
      <c r="I7" s="50">
        <v>0</v>
      </c>
      <c r="J7" s="50">
        <v>0</v>
      </c>
      <c r="K7" s="50">
        <v>0</v>
      </c>
    </row>
    <row r="8" spans="1:12">
      <c r="A8" t="s">
        <v>766</v>
      </c>
      <c r="B8" s="120" t="s">
        <v>738</v>
      </c>
      <c r="C8" s="105">
        <v>45371</v>
      </c>
      <c r="D8" t="s">
        <v>744</v>
      </c>
      <c r="E8" t="s">
        <v>745</v>
      </c>
      <c r="F8" t="s">
        <v>767</v>
      </c>
      <c r="I8" s="50">
        <v>0</v>
      </c>
      <c r="J8" s="50">
        <v>0</v>
      </c>
      <c r="K8" s="50">
        <v>0</v>
      </c>
    </row>
    <row r="9" spans="1:12">
      <c r="A9" t="s">
        <v>768</v>
      </c>
      <c r="B9" s="120" t="s">
        <v>738</v>
      </c>
      <c r="C9" s="105">
        <v>45381</v>
      </c>
      <c r="D9" t="s">
        <v>763</v>
      </c>
      <c r="E9" t="s">
        <v>764</v>
      </c>
      <c r="F9" t="s">
        <v>769</v>
      </c>
      <c r="G9" s="50">
        <v>848</v>
      </c>
      <c r="H9" s="50">
        <v>243</v>
      </c>
      <c r="I9" s="50">
        <v>1091</v>
      </c>
      <c r="J9" s="50">
        <v>0</v>
      </c>
      <c r="K9" s="50">
        <v>1091</v>
      </c>
      <c r="L9" s="120" t="s">
        <v>26</v>
      </c>
    </row>
    <row r="10" spans="1:12">
      <c r="A10" t="s">
        <v>770</v>
      </c>
      <c r="B10" s="120" t="s">
        <v>730</v>
      </c>
      <c r="C10" s="105">
        <v>45407</v>
      </c>
      <c r="D10" t="s">
        <v>771</v>
      </c>
      <c r="E10" t="s">
        <v>772</v>
      </c>
      <c r="F10" t="s">
        <v>773</v>
      </c>
      <c r="G10" s="50">
        <v>124.5</v>
      </c>
      <c r="H10" s="50">
        <v>863.8</v>
      </c>
      <c r="I10" s="50">
        <v>988.3</v>
      </c>
      <c r="J10" s="50">
        <v>0</v>
      </c>
      <c r="K10" s="50">
        <v>988.3</v>
      </c>
      <c r="L10" s="120" t="s">
        <v>26</v>
      </c>
    </row>
    <row r="11" spans="1:12">
      <c r="A11" t="s">
        <v>774</v>
      </c>
      <c r="B11" s="120" t="s">
        <v>730</v>
      </c>
      <c r="C11" s="105">
        <v>45409</v>
      </c>
      <c r="D11" t="s">
        <v>775</v>
      </c>
      <c r="E11" t="s">
        <v>776</v>
      </c>
      <c r="F11" t="s">
        <v>777</v>
      </c>
      <c r="I11" s="50">
        <v>0</v>
      </c>
      <c r="J11" s="50">
        <v>0</v>
      </c>
      <c r="K11" s="50">
        <v>0</v>
      </c>
    </row>
    <row r="12" spans="1:12">
      <c r="A12" t="s">
        <v>778</v>
      </c>
      <c r="B12" s="120" t="s">
        <v>730</v>
      </c>
      <c r="C12" s="105">
        <v>45409</v>
      </c>
      <c r="D12" t="s">
        <v>779</v>
      </c>
      <c r="E12" t="s">
        <v>780</v>
      </c>
      <c r="F12" t="s">
        <v>781</v>
      </c>
      <c r="I12" s="50">
        <v>0</v>
      </c>
      <c r="J12" s="50">
        <v>0</v>
      </c>
      <c r="K12" s="50">
        <v>0</v>
      </c>
    </row>
    <row r="13" spans="1:12">
      <c r="A13" t="s">
        <v>782</v>
      </c>
      <c r="B13" s="120" t="s">
        <v>730</v>
      </c>
      <c r="C13" s="105">
        <v>45411</v>
      </c>
      <c r="D13" t="s">
        <v>763</v>
      </c>
      <c r="E13" t="s">
        <v>764</v>
      </c>
      <c r="F13" t="s">
        <v>783</v>
      </c>
      <c r="I13" s="50">
        <v>0</v>
      </c>
      <c r="J13" s="50">
        <v>0</v>
      </c>
      <c r="K13" s="50">
        <v>0</v>
      </c>
    </row>
    <row r="14" spans="1:12">
      <c r="A14" t="s">
        <v>784</v>
      </c>
      <c r="B14" s="120" t="s">
        <v>731</v>
      </c>
      <c r="C14" s="105">
        <v>45440</v>
      </c>
      <c r="D14" t="s">
        <v>779</v>
      </c>
      <c r="E14" t="s">
        <v>780</v>
      </c>
      <c r="F14" t="s">
        <v>785</v>
      </c>
      <c r="I14" s="50">
        <v>0</v>
      </c>
      <c r="J14" s="50">
        <v>0</v>
      </c>
      <c r="K14" s="50">
        <v>0</v>
      </c>
    </row>
    <row r="15" spans="1:12">
      <c r="A15" t="s">
        <v>786</v>
      </c>
      <c r="B15" s="120" t="s">
        <v>731</v>
      </c>
      <c r="C15" s="105">
        <v>45440</v>
      </c>
      <c r="D15" t="s">
        <v>779</v>
      </c>
      <c r="E15" t="s">
        <v>780</v>
      </c>
      <c r="F15" t="s">
        <v>787</v>
      </c>
      <c r="I15" s="50">
        <v>0</v>
      </c>
      <c r="J15" s="50">
        <v>0</v>
      </c>
      <c r="K15" s="50">
        <v>0</v>
      </c>
    </row>
    <row r="16" spans="1:12">
      <c r="A16" t="s">
        <v>788</v>
      </c>
      <c r="B16" s="120" t="s">
        <v>732</v>
      </c>
      <c r="C16" s="105">
        <v>45467</v>
      </c>
      <c r="D16" t="s">
        <v>789</v>
      </c>
      <c r="E16" t="s">
        <v>790</v>
      </c>
      <c r="F16" t="s">
        <v>791</v>
      </c>
      <c r="G16" s="50">
        <v>433.59</v>
      </c>
      <c r="H16" s="50">
        <v>181.44</v>
      </c>
      <c r="I16" s="50">
        <v>615</v>
      </c>
      <c r="J16" s="50">
        <v>-0.03</v>
      </c>
      <c r="K16" s="50">
        <v>615</v>
      </c>
      <c r="L16" s="120" t="s">
        <v>26</v>
      </c>
    </row>
    <row r="17" spans="1:12">
      <c r="A17" t="s">
        <v>792</v>
      </c>
      <c r="B17" s="120" t="s">
        <v>732</v>
      </c>
      <c r="C17" s="105">
        <v>45444</v>
      </c>
      <c r="D17" t="s">
        <v>759</v>
      </c>
      <c r="E17" t="s">
        <v>760</v>
      </c>
      <c r="F17" t="s">
        <v>793</v>
      </c>
      <c r="I17" s="50">
        <v>0</v>
      </c>
      <c r="J17" s="50">
        <v>0</v>
      </c>
      <c r="K17" s="50">
        <v>0</v>
      </c>
      <c r="L17" s="120"/>
    </row>
    <row r="18" spans="1:12">
      <c r="A18" t="s">
        <v>794</v>
      </c>
      <c r="B18" s="120" t="s">
        <v>732</v>
      </c>
      <c r="C18" s="105">
        <v>45471</v>
      </c>
      <c r="D18" t="s">
        <v>744</v>
      </c>
      <c r="E18" t="s">
        <v>745</v>
      </c>
      <c r="F18" t="s">
        <v>795</v>
      </c>
      <c r="I18" s="50">
        <v>0</v>
      </c>
      <c r="J18" s="50">
        <v>0</v>
      </c>
      <c r="K18" s="50">
        <v>0</v>
      </c>
    </row>
    <row r="19" spans="1:12">
      <c r="A19" t="s">
        <v>796</v>
      </c>
      <c r="B19" s="120" t="s">
        <v>732</v>
      </c>
      <c r="C19" s="105">
        <v>45455</v>
      </c>
      <c r="D19" t="s">
        <v>748</v>
      </c>
      <c r="E19" t="s">
        <v>756</v>
      </c>
      <c r="F19" t="s">
        <v>797</v>
      </c>
      <c r="I19" s="50">
        <v>0</v>
      </c>
      <c r="J19" s="50">
        <v>0</v>
      </c>
      <c r="K19" s="50">
        <v>0</v>
      </c>
    </row>
    <row r="20" spans="1:12">
      <c r="A20" t="s">
        <v>798</v>
      </c>
      <c r="B20" s="120" t="s">
        <v>732</v>
      </c>
      <c r="C20" s="105">
        <v>45469</v>
      </c>
      <c r="D20" t="s">
        <v>799</v>
      </c>
      <c r="E20" t="s">
        <v>800</v>
      </c>
      <c r="F20" t="s">
        <v>801</v>
      </c>
      <c r="I20" s="50">
        <v>0</v>
      </c>
      <c r="J20" s="50">
        <v>0</v>
      </c>
      <c r="K20" s="50">
        <v>0</v>
      </c>
    </row>
    <row r="21" spans="1:12">
      <c r="A21" t="s">
        <v>802</v>
      </c>
      <c r="B21" s="120" t="s">
        <v>13</v>
      </c>
      <c r="C21" s="105">
        <v>45488</v>
      </c>
      <c r="D21" t="s">
        <v>803</v>
      </c>
      <c r="E21" t="s">
        <v>804</v>
      </c>
      <c r="F21" t="s">
        <v>805</v>
      </c>
      <c r="I21" s="50">
        <v>0</v>
      </c>
      <c r="J21" s="50">
        <v>0</v>
      </c>
      <c r="K21" s="50">
        <v>0</v>
      </c>
    </row>
    <row r="22" spans="1:12">
      <c r="A22" t="s">
        <v>806</v>
      </c>
      <c r="B22" s="120" t="s">
        <v>13</v>
      </c>
      <c r="C22" s="105">
        <v>45499</v>
      </c>
      <c r="D22" t="s">
        <v>807</v>
      </c>
      <c r="E22" t="s">
        <v>808</v>
      </c>
      <c r="F22" t="s">
        <v>809</v>
      </c>
      <c r="I22" s="50">
        <v>0</v>
      </c>
      <c r="J22" s="50">
        <v>0</v>
      </c>
      <c r="K22" s="50">
        <v>0</v>
      </c>
    </row>
    <row r="23" spans="1:12">
      <c r="A23" t="s">
        <v>810</v>
      </c>
      <c r="B23" s="120" t="s">
        <v>734</v>
      </c>
      <c r="C23" s="105">
        <v>45537</v>
      </c>
      <c r="D23" t="s">
        <v>759</v>
      </c>
      <c r="E23" t="s">
        <v>760</v>
      </c>
      <c r="F23" t="s">
        <v>811</v>
      </c>
      <c r="I23" s="50">
        <v>0</v>
      </c>
      <c r="J23" s="50">
        <v>0</v>
      </c>
      <c r="K23" s="50">
        <v>0</v>
      </c>
    </row>
    <row r="24" spans="1:12">
      <c r="A24" t="s">
        <v>812</v>
      </c>
      <c r="B24" s="120" t="s">
        <v>734</v>
      </c>
      <c r="C24" s="105">
        <v>45539</v>
      </c>
      <c r="D24" t="s">
        <v>779</v>
      </c>
      <c r="E24" t="s">
        <v>780</v>
      </c>
      <c r="F24" t="s">
        <v>813</v>
      </c>
      <c r="I24" s="50">
        <v>0</v>
      </c>
      <c r="J24" s="50">
        <v>0</v>
      </c>
      <c r="K24" s="50">
        <v>0</v>
      </c>
    </row>
    <row r="25" spans="1:12">
      <c r="A25" t="s">
        <v>814</v>
      </c>
      <c r="B25" s="120" t="s">
        <v>734</v>
      </c>
      <c r="C25" s="105">
        <v>45558</v>
      </c>
      <c r="D25" t="s">
        <v>763</v>
      </c>
      <c r="E25" t="s">
        <v>764</v>
      </c>
      <c r="F25" t="s">
        <v>815</v>
      </c>
      <c r="I25" s="50">
        <v>0</v>
      </c>
      <c r="J25" s="50">
        <v>0</v>
      </c>
      <c r="K25" s="50">
        <v>0</v>
      </c>
    </row>
    <row r="26" spans="1:12">
      <c r="A26" t="s">
        <v>816</v>
      </c>
      <c r="B26" s="120" t="s">
        <v>734</v>
      </c>
      <c r="C26" s="105">
        <v>45565</v>
      </c>
      <c r="D26" t="s">
        <v>51</v>
      </c>
      <c r="E26" t="s">
        <v>817</v>
      </c>
      <c r="F26" t="s">
        <v>818</v>
      </c>
      <c r="G26" s="50">
        <v>407.55</v>
      </c>
      <c r="H26" s="50">
        <v>1300</v>
      </c>
      <c r="I26" s="50">
        <v>1707.55</v>
      </c>
      <c r="J26" s="50">
        <v>0</v>
      </c>
      <c r="K26" s="50">
        <v>1707.55</v>
      </c>
      <c r="L26" s="120" t="s">
        <v>26</v>
      </c>
    </row>
    <row r="27" spans="1:12">
      <c r="A27" t="s">
        <v>819</v>
      </c>
      <c r="B27" s="120" t="s">
        <v>735</v>
      </c>
      <c r="C27" s="105">
        <v>45579</v>
      </c>
      <c r="D27" t="s">
        <v>789</v>
      </c>
      <c r="E27" t="s">
        <v>790</v>
      </c>
      <c r="F27" t="s">
        <v>820</v>
      </c>
      <c r="I27" s="50">
        <v>0</v>
      </c>
      <c r="J27" s="50">
        <v>0</v>
      </c>
      <c r="K27" s="50">
        <v>0</v>
      </c>
    </row>
    <row r="28" spans="1:12">
      <c r="A28" t="s">
        <v>821</v>
      </c>
      <c r="B28" s="120" t="s">
        <v>735</v>
      </c>
      <c r="C28" s="105">
        <v>45593</v>
      </c>
      <c r="D28" t="s">
        <v>789</v>
      </c>
      <c r="E28" t="s">
        <v>790</v>
      </c>
      <c r="F28" t="s">
        <v>822</v>
      </c>
      <c r="G28" s="50">
        <v>321.31</v>
      </c>
      <c r="H28" s="50">
        <v>280</v>
      </c>
      <c r="I28" s="50">
        <v>601.29999999999995</v>
      </c>
      <c r="J28" s="50">
        <v>-0.01</v>
      </c>
      <c r="K28" s="50">
        <v>601.29999999999995</v>
      </c>
      <c r="L28" s="120" t="s">
        <v>26</v>
      </c>
    </row>
    <row r="29" spans="1:12">
      <c r="A29" t="s">
        <v>823</v>
      </c>
      <c r="B29" s="120" t="s">
        <v>736</v>
      </c>
      <c r="C29" s="105">
        <v>45603</v>
      </c>
      <c r="D29" t="s">
        <v>775</v>
      </c>
      <c r="E29" t="s">
        <v>776</v>
      </c>
      <c r="F29" t="s">
        <v>824</v>
      </c>
      <c r="I29" s="50">
        <v>0</v>
      </c>
      <c r="J29" s="50">
        <v>0</v>
      </c>
      <c r="K29" s="50">
        <v>0</v>
      </c>
    </row>
    <row r="30" spans="1:12">
      <c r="A30" t="s">
        <v>825</v>
      </c>
      <c r="B30" s="120" t="s">
        <v>736</v>
      </c>
      <c r="C30" s="105">
        <v>45612</v>
      </c>
      <c r="D30" t="s">
        <v>807</v>
      </c>
      <c r="E30" t="s">
        <v>808</v>
      </c>
      <c r="F30" t="s">
        <v>826</v>
      </c>
      <c r="I30" s="50">
        <v>0</v>
      </c>
      <c r="J30" s="50">
        <v>0</v>
      </c>
      <c r="K30" s="50">
        <v>0</v>
      </c>
    </row>
    <row r="31" spans="1:12">
      <c r="A31" t="s">
        <v>827</v>
      </c>
      <c r="B31" s="120" t="s">
        <v>736</v>
      </c>
      <c r="C31" s="105">
        <v>45625</v>
      </c>
      <c r="D31" t="s">
        <v>799</v>
      </c>
      <c r="E31" t="s">
        <v>800</v>
      </c>
      <c r="F31" t="s">
        <v>828</v>
      </c>
      <c r="I31" s="50">
        <v>0</v>
      </c>
      <c r="J31" s="50">
        <v>0</v>
      </c>
      <c r="K31" s="50">
        <v>0</v>
      </c>
    </row>
    <row r="32" spans="1:12">
      <c r="A32" t="s">
        <v>829</v>
      </c>
      <c r="B32" s="120" t="s">
        <v>736</v>
      </c>
      <c r="C32" s="105">
        <v>45625</v>
      </c>
      <c r="D32" t="s">
        <v>51</v>
      </c>
      <c r="E32" t="s">
        <v>56</v>
      </c>
      <c r="F32" t="s">
        <v>830</v>
      </c>
      <c r="H32" s="50">
        <v>656</v>
      </c>
      <c r="I32" s="50">
        <v>656</v>
      </c>
      <c r="J32" s="50">
        <v>0</v>
      </c>
      <c r="K32" s="50">
        <v>656</v>
      </c>
      <c r="L32" s="120" t="s">
        <v>857</v>
      </c>
    </row>
    <row r="33" spans="1:12">
      <c r="A33" t="s">
        <v>831</v>
      </c>
      <c r="B33" s="120" t="s">
        <v>736</v>
      </c>
      <c r="C33" s="105">
        <v>45625</v>
      </c>
      <c r="D33" t="s">
        <v>51</v>
      </c>
      <c r="E33" t="s">
        <v>71</v>
      </c>
      <c r="F33" t="s">
        <v>832</v>
      </c>
      <c r="H33" s="50">
        <v>736</v>
      </c>
      <c r="I33" s="50">
        <v>736</v>
      </c>
      <c r="J33" s="50">
        <v>0</v>
      </c>
      <c r="K33" s="50">
        <v>736</v>
      </c>
      <c r="L33" s="120" t="s">
        <v>857</v>
      </c>
    </row>
    <row r="34" spans="1:12">
      <c r="A34" t="s">
        <v>833</v>
      </c>
      <c r="B34" s="120" t="s">
        <v>736</v>
      </c>
      <c r="C34" s="105">
        <v>45625</v>
      </c>
      <c r="D34" t="s">
        <v>51</v>
      </c>
      <c r="E34" t="s">
        <v>62</v>
      </c>
      <c r="F34" t="s">
        <v>834</v>
      </c>
      <c r="H34" s="50">
        <v>320</v>
      </c>
      <c r="I34" s="50">
        <v>320</v>
      </c>
      <c r="J34" s="50">
        <v>0</v>
      </c>
      <c r="K34" s="50">
        <v>320</v>
      </c>
      <c r="L34" s="120" t="s">
        <v>857</v>
      </c>
    </row>
    <row r="35" spans="1:12">
      <c r="A35" t="s">
        <v>835</v>
      </c>
      <c r="B35" s="120" t="s">
        <v>736</v>
      </c>
      <c r="C35" s="105">
        <v>45625</v>
      </c>
      <c r="D35" t="s">
        <v>51</v>
      </c>
      <c r="E35" t="s">
        <v>68</v>
      </c>
      <c r="F35" t="s">
        <v>836</v>
      </c>
      <c r="H35" s="50">
        <v>320</v>
      </c>
      <c r="I35" s="50">
        <v>320</v>
      </c>
      <c r="J35" s="50">
        <v>0</v>
      </c>
      <c r="K35" s="50">
        <v>320</v>
      </c>
      <c r="L35" s="120" t="s">
        <v>857</v>
      </c>
    </row>
    <row r="36" spans="1:12">
      <c r="A36" t="s">
        <v>837</v>
      </c>
      <c r="B36" s="120" t="s">
        <v>736</v>
      </c>
      <c r="C36" s="105">
        <v>45625</v>
      </c>
      <c r="D36" t="s">
        <v>51</v>
      </c>
      <c r="E36" t="s">
        <v>59</v>
      </c>
      <c r="F36" t="s">
        <v>838</v>
      </c>
      <c r="H36" s="50">
        <v>320</v>
      </c>
      <c r="I36" s="50">
        <v>320</v>
      </c>
      <c r="J36" s="50">
        <v>0</v>
      </c>
      <c r="K36" s="50">
        <v>320</v>
      </c>
      <c r="L36" s="120" t="s">
        <v>857</v>
      </c>
    </row>
    <row r="37" spans="1:12">
      <c r="A37" t="s">
        <v>839</v>
      </c>
      <c r="B37" s="120" t="s">
        <v>736</v>
      </c>
      <c r="C37" s="105">
        <v>45625</v>
      </c>
      <c r="D37" t="s">
        <v>51</v>
      </c>
      <c r="E37" t="s">
        <v>50</v>
      </c>
      <c r="F37" t="s">
        <v>840</v>
      </c>
      <c r="H37" s="50">
        <v>240</v>
      </c>
      <c r="I37" s="50">
        <v>240</v>
      </c>
      <c r="J37" s="50">
        <v>0</v>
      </c>
      <c r="K37" s="50">
        <v>240</v>
      </c>
      <c r="L37" s="120" t="s">
        <v>857</v>
      </c>
    </row>
    <row r="38" spans="1:12">
      <c r="A38" t="s">
        <v>841</v>
      </c>
      <c r="B38" s="120" t="s">
        <v>736</v>
      </c>
      <c r="C38" s="105">
        <v>45625</v>
      </c>
      <c r="D38" t="s">
        <v>51</v>
      </c>
      <c r="E38" t="s">
        <v>65</v>
      </c>
      <c r="F38" t="s">
        <v>842</v>
      </c>
      <c r="H38" s="50">
        <v>472</v>
      </c>
      <c r="I38" s="50">
        <v>472</v>
      </c>
      <c r="J38" s="50">
        <v>0</v>
      </c>
      <c r="K38" s="50">
        <v>472</v>
      </c>
      <c r="L38" s="120" t="s">
        <v>857</v>
      </c>
    </row>
    <row r="39" spans="1:12">
      <c r="A39" t="s">
        <v>843</v>
      </c>
      <c r="B39" s="120" t="s">
        <v>736</v>
      </c>
      <c r="C39" s="105">
        <v>45625</v>
      </c>
      <c r="D39" t="s">
        <v>51</v>
      </c>
      <c r="E39" t="s">
        <v>94</v>
      </c>
      <c r="F39" t="s">
        <v>844</v>
      </c>
      <c r="H39" s="50">
        <v>392</v>
      </c>
      <c r="I39" s="50">
        <v>392</v>
      </c>
      <c r="J39" s="50">
        <v>0</v>
      </c>
      <c r="K39" s="50">
        <v>392</v>
      </c>
      <c r="L39" s="120" t="s">
        <v>857</v>
      </c>
    </row>
    <row r="40" spans="1:12">
      <c r="A40" t="s">
        <v>845</v>
      </c>
      <c r="B40" s="120" t="s">
        <v>736</v>
      </c>
      <c r="C40" s="105">
        <v>45626</v>
      </c>
      <c r="D40" t="s">
        <v>752</v>
      </c>
      <c r="E40" t="s">
        <v>753</v>
      </c>
      <c r="F40" t="s">
        <v>846</v>
      </c>
      <c r="I40" s="50">
        <v>0</v>
      </c>
      <c r="J40" s="50">
        <v>0</v>
      </c>
      <c r="K40" s="50">
        <v>0</v>
      </c>
    </row>
    <row r="41" spans="1:12">
      <c r="A41" t="s">
        <v>847</v>
      </c>
      <c r="B41" s="120" t="s">
        <v>737</v>
      </c>
      <c r="C41" s="105">
        <v>45636</v>
      </c>
      <c r="D41" t="s">
        <v>759</v>
      </c>
      <c r="E41" t="s">
        <v>760</v>
      </c>
      <c r="F41" t="s">
        <v>848</v>
      </c>
      <c r="I41" s="50">
        <v>0</v>
      </c>
      <c r="J41" s="50">
        <v>0</v>
      </c>
      <c r="K41" s="50">
        <v>0</v>
      </c>
    </row>
    <row r="42" spans="1:12">
      <c r="A42" t="s">
        <v>849</v>
      </c>
      <c r="B42" s="120" t="s">
        <v>737</v>
      </c>
      <c r="C42" s="105">
        <v>45657</v>
      </c>
      <c r="D42" t="s">
        <v>850</v>
      </c>
      <c r="E42" t="s">
        <v>851</v>
      </c>
      <c r="F42" t="s">
        <v>852</v>
      </c>
      <c r="G42" s="50">
        <v>521.38</v>
      </c>
      <c r="H42" s="50">
        <v>818.8</v>
      </c>
      <c r="I42" s="50">
        <v>1340.18</v>
      </c>
      <c r="J42" s="50">
        <v>0</v>
      </c>
      <c r="K42" s="50">
        <v>1340.18</v>
      </c>
      <c r="L42" s="120" t="s">
        <v>857</v>
      </c>
    </row>
    <row r="43" spans="1:12">
      <c r="A43" t="s">
        <v>853</v>
      </c>
      <c r="B43" s="120" t="s">
        <v>737</v>
      </c>
      <c r="C43" s="105">
        <v>45657</v>
      </c>
      <c r="D43" t="s">
        <v>850</v>
      </c>
      <c r="E43" t="s">
        <v>854</v>
      </c>
      <c r="F43" t="s">
        <v>855</v>
      </c>
      <c r="G43" s="50">
        <v>150</v>
      </c>
      <c r="H43" s="50">
        <v>1000</v>
      </c>
      <c r="I43" s="50">
        <v>1150</v>
      </c>
      <c r="J43" s="50">
        <v>0</v>
      </c>
      <c r="K43" s="50">
        <v>1150</v>
      </c>
      <c r="L43" s="120" t="s">
        <v>857</v>
      </c>
    </row>
    <row r="45" spans="1:12" ht="15.75" thickBot="1">
      <c r="K45" s="129">
        <f>SUM(K2:K44)</f>
        <v>12398</v>
      </c>
    </row>
    <row r="46" spans="1:12" ht="15.75" thickTop="1"/>
  </sheetData>
  <autoFilter ref="A1:K43" xr:uid="{7F90AF3E-7066-403E-8711-96D2381EFD1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81FA-CA0D-4C65-9F93-CC4406F43CCA}">
  <dimension ref="A1:J34"/>
  <sheetViews>
    <sheetView workbookViewId="0">
      <selection activeCell="J211" sqref="J211"/>
    </sheetView>
  </sheetViews>
  <sheetFormatPr defaultRowHeight="15"/>
  <cols>
    <col min="1" max="1" width="10.7109375" style="105" bestFit="1" customWidth="1"/>
    <col min="2" max="2" width="10.7109375" style="105" customWidth="1"/>
    <col min="3" max="3" width="14.42578125" bestFit="1" customWidth="1"/>
    <col min="4" max="4" width="38.140625" bestFit="1" customWidth="1"/>
    <col min="5" max="5" width="12.85546875" bestFit="1" customWidth="1"/>
    <col min="7" max="7" width="10" style="50" bestFit="1" customWidth="1"/>
    <col min="8" max="8" width="9.28515625" style="50" bestFit="1" customWidth="1"/>
    <col min="9" max="10" width="10" style="50" bestFit="1" customWidth="1"/>
  </cols>
  <sheetData>
    <row r="1" spans="1:10">
      <c r="A1" s="130" t="s">
        <v>858</v>
      </c>
    </row>
    <row r="2" spans="1:10">
      <c r="A2" s="105" t="s">
        <v>228</v>
      </c>
      <c r="B2" s="131" t="s">
        <v>856</v>
      </c>
      <c r="C2" t="s">
        <v>859</v>
      </c>
      <c r="D2" t="s">
        <v>860</v>
      </c>
      <c r="E2" t="s">
        <v>861</v>
      </c>
      <c r="F2" t="s">
        <v>862</v>
      </c>
      <c r="G2" s="50" t="s">
        <v>863</v>
      </c>
      <c r="H2" s="50" t="s">
        <v>864</v>
      </c>
      <c r="I2" s="50" t="s">
        <v>29</v>
      </c>
      <c r="J2" s="50" t="s">
        <v>865</v>
      </c>
    </row>
    <row r="3" spans="1:10">
      <c r="A3" s="105">
        <v>45371</v>
      </c>
      <c r="B3" s="131" t="s">
        <v>738</v>
      </c>
      <c r="C3" t="s">
        <v>866</v>
      </c>
      <c r="D3" t="s">
        <v>867</v>
      </c>
      <c r="E3" t="s">
        <v>766</v>
      </c>
      <c r="F3" t="s">
        <v>745</v>
      </c>
      <c r="G3" s="50">
        <v>148.80000000000001</v>
      </c>
      <c r="H3" s="50">
        <v>56.88</v>
      </c>
      <c r="I3" s="50">
        <v>205.68</v>
      </c>
      <c r="J3" s="50">
        <v>205.68</v>
      </c>
    </row>
    <row r="4" spans="1:10">
      <c r="A4" s="105">
        <v>45411</v>
      </c>
      <c r="B4" s="131" t="s">
        <v>730</v>
      </c>
      <c r="C4" t="s">
        <v>868</v>
      </c>
      <c r="D4" t="s">
        <v>867</v>
      </c>
      <c r="E4" t="s">
        <v>782</v>
      </c>
      <c r="F4" t="s">
        <v>764</v>
      </c>
      <c r="G4" s="50">
        <v>2867.57</v>
      </c>
      <c r="H4" s="50">
        <v>450</v>
      </c>
      <c r="I4" s="50">
        <v>3317.57</v>
      </c>
      <c r="J4" s="50">
        <v>3317.57</v>
      </c>
    </row>
    <row r="5" spans="1:10">
      <c r="A5" s="105">
        <v>45440</v>
      </c>
      <c r="B5" s="131" t="s">
        <v>731</v>
      </c>
      <c r="C5" t="s">
        <v>869</v>
      </c>
      <c r="D5" t="s">
        <v>867</v>
      </c>
      <c r="E5" t="s">
        <v>786</v>
      </c>
      <c r="F5" t="s">
        <v>780</v>
      </c>
      <c r="G5" s="50">
        <v>327.36</v>
      </c>
      <c r="H5" s="50">
        <v>42</v>
      </c>
      <c r="I5" s="50">
        <v>369.36</v>
      </c>
      <c r="J5" s="50">
        <v>369.36</v>
      </c>
    </row>
    <row r="6" spans="1:10">
      <c r="A6" s="105">
        <v>45579</v>
      </c>
      <c r="B6" s="131" t="s">
        <v>735</v>
      </c>
      <c r="C6" t="s">
        <v>870</v>
      </c>
      <c r="D6" t="s">
        <v>867</v>
      </c>
      <c r="E6" t="s">
        <v>819</v>
      </c>
      <c r="F6" t="s">
        <v>790</v>
      </c>
      <c r="G6" s="50">
        <v>1824.24</v>
      </c>
      <c r="H6" s="50">
        <v>96</v>
      </c>
      <c r="I6" s="50">
        <v>1920.24</v>
      </c>
      <c r="J6" s="50">
        <v>1920.24</v>
      </c>
    </row>
    <row r="7" spans="1:10">
      <c r="A7" s="105">
        <v>45602</v>
      </c>
      <c r="B7" s="131" t="s">
        <v>736</v>
      </c>
      <c r="C7" t="s">
        <v>871</v>
      </c>
      <c r="D7" t="s">
        <v>867</v>
      </c>
      <c r="E7" t="s">
        <v>845</v>
      </c>
      <c r="F7" t="s">
        <v>753</v>
      </c>
      <c r="G7" s="50">
        <v>409.2</v>
      </c>
      <c r="H7" s="50">
        <v>252</v>
      </c>
      <c r="I7" s="50">
        <v>661.2</v>
      </c>
      <c r="J7" s="50">
        <v>661.2</v>
      </c>
    </row>
    <row r="8" spans="1:10">
      <c r="B8" s="131"/>
    </row>
    <row r="9" spans="1:10" ht="15.75" thickBot="1">
      <c r="J9" s="129">
        <f>SUM(J3:J8)</f>
        <v>6474.05</v>
      </c>
    </row>
    <row r="10" spans="1:10" ht="15.75" thickTop="1"/>
    <row r="11" spans="1:10">
      <c r="A11" s="130" t="s">
        <v>6</v>
      </c>
    </row>
    <row r="12" spans="1:10">
      <c r="A12" s="105">
        <v>45304</v>
      </c>
      <c r="B12" s="131" t="s">
        <v>728</v>
      </c>
      <c r="C12" t="s">
        <v>872</v>
      </c>
      <c r="D12" t="s">
        <v>867</v>
      </c>
      <c r="E12" t="s">
        <v>743</v>
      </c>
      <c r="F12" t="s">
        <v>745</v>
      </c>
      <c r="G12" s="50">
        <v>240.21</v>
      </c>
      <c r="H12" s="50">
        <v>108</v>
      </c>
      <c r="I12" s="50">
        <v>348.21</v>
      </c>
      <c r="J12" s="50">
        <v>348.21</v>
      </c>
    </row>
    <row r="13" spans="1:10">
      <c r="A13" s="105">
        <v>45358</v>
      </c>
      <c r="B13" s="131" t="s">
        <v>738</v>
      </c>
      <c r="C13" t="s">
        <v>873</v>
      </c>
      <c r="D13" t="s">
        <v>867</v>
      </c>
      <c r="E13" t="s">
        <v>755</v>
      </c>
      <c r="F13" t="s">
        <v>756</v>
      </c>
      <c r="G13" s="50">
        <v>225.81</v>
      </c>
      <c r="H13" s="50">
        <v>126</v>
      </c>
      <c r="I13" s="50">
        <v>351.81</v>
      </c>
      <c r="J13" s="50">
        <v>351.81</v>
      </c>
    </row>
    <row r="14" spans="1:10">
      <c r="A14" s="105">
        <v>45359</v>
      </c>
      <c r="B14" s="131" t="s">
        <v>738</v>
      </c>
      <c r="C14" t="s">
        <v>874</v>
      </c>
      <c r="D14" t="s">
        <v>867</v>
      </c>
      <c r="E14" t="s">
        <v>758</v>
      </c>
      <c r="F14" t="s">
        <v>760</v>
      </c>
      <c r="G14" s="50">
        <v>225.81</v>
      </c>
      <c r="H14" s="50">
        <v>126</v>
      </c>
      <c r="I14" s="50">
        <v>351.81</v>
      </c>
      <c r="J14" s="50">
        <v>351.81</v>
      </c>
    </row>
    <row r="15" spans="1:10">
      <c r="A15" s="105">
        <v>45359</v>
      </c>
      <c r="B15" s="131" t="s">
        <v>738</v>
      </c>
      <c r="C15" t="s">
        <v>875</v>
      </c>
      <c r="D15" t="s">
        <v>867</v>
      </c>
      <c r="E15" t="s">
        <v>762</v>
      </c>
      <c r="F15" t="s">
        <v>764</v>
      </c>
      <c r="G15" s="50">
        <v>501.18</v>
      </c>
      <c r="H15" s="50">
        <v>222</v>
      </c>
      <c r="I15" s="50">
        <v>723.18</v>
      </c>
      <c r="J15" s="50">
        <v>723.18</v>
      </c>
    </row>
    <row r="16" spans="1:10">
      <c r="A16" s="105">
        <v>45409</v>
      </c>
      <c r="B16" s="131" t="s">
        <v>730</v>
      </c>
      <c r="C16" t="s">
        <v>876</v>
      </c>
      <c r="D16" t="s">
        <v>867</v>
      </c>
      <c r="E16" t="s">
        <v>774</v>
      </c>
      <c r="F16" t="s">
        <v>776</v>
      </c>
      <c r="G16" s="50">
        <v>395.23</v>
      </c>
      <c r="H16" s="50">
        <v>180</v>
      </c>
      <c r="I16" s="50">
        <v>575.23</v>
      </c>
      <c r="J16" s="50">
        <v>575.23</v>
      </c>
    </row>
    <row r="17" spans="1:10">
      <c r="A17" s="105">
        <v>45409</v>
      </c>
      <c r="B17" s="131" t="s">
        <v>730</v>
      </c>
      <c r="C17" t="s">
        <v>877</v>
      </c>
      <c r="D17" t="s">
        <v>867</v>
      </c>
      <c r="E17" t="s">
        <v>778</v>
      </c>
      <c r="F17" t="s">
        <v>780</v>
      </c>
      <c r="G17" s="50">
        <v>494.18</v>
      </c>
      <c r="H17" s="50">
        <v>198</v>
      </c>
      <c r="I17" s="50">
        <v>692.18</v>
      </c>
      <c r="J17" s="50">
        <v>692.18</v>
      </c>
    </row>
    <row r="18" spans="1:10">
      <c r="A18" s="105">
        <v>45440</v>
      </c>
      <c r="B18" s="131" t="s">
        <v>731</v>
      </c>
      <c r="C18" t="s">
        <v>878</v>
      </c>
      <c r="D18" t="s">
        <v>867</v>
      </c>
      <c r="E18" t="s">
        <v>784</v>
      </c>
      <c r="F18" t="s">
        <v>780</v>
      </c>
      <c r="G18" s="50">
        <v>225.81</v>
      </c>
      <c r="H18" s="50">
        <v>126</v>
      </c>
      <c r="I18" s="50">
        <v>351.81</v>
      </c>
      <c r="J18" s="50">
        <v>351.81</v>
      </c>
    </row>
    <row r="19" spans="1:10">
      <c r="A19" s="105">
        <v>45444</v>
      </c>
      <c r="B19" s="131" t="s">
        <v>732</v>
      </c>
      <c r="C19" t="s">
        <v>879</v>
      </c>
      <c r="D19" t="s">
        <v>867</v>
      </c>
      <c r="E19" t="s">
        <v>792</v>
      </c>
      <c r="F19" t="s">
        <v>760</v>
      </c>
      <c r="G19" s="50">
        <v>240.21</v>
      </c>
      <c r="H19" s="50">
        <v>108</v>
      </c>
      <c r="I19" s="50">
        <v>348.21</v>
      </c>
      <c r="J19" s="50">
        <v>348.21</v>
      </c>
    </row>
    <row r="20" spans="1:10">
      <c r="A20" s="105">
        <v>45471</v>
      </c>
      <c r="B20" s="131" t="s">
        <v>732</v>
      </c>
      <c r="C20" t="s">
        <v>880</v>
      </c>
      <c r="D20" t="s">
        <v>867</v>
      </c>
      <c r="E20" t="s">
        <v>794</v>
      </c>
      <c r="F20" t="s">
        <v>745</v>
      </c>
      <c r="G20" s="50">
        <v>501.18</v>
      </c>
      <c r="H20" s="50">
        <v>222</v>
      </c>
      <c r="I20" s="50">
        <v>723.18</v>
      </c>
      <c r="J20" s="50">
        <v>723.18</v>
      </c>
    </row>
    <row r="21" spans="1:10">
      <c r="A21" s="105">
        <v>45455</v>
      </c>
      <c r="B21" s="131" t="s">
        <v>732</v>
      </c>
      <c r="C21" t="s">
        <v>881</v>
      </c>
      <c r="D21" t="s">
        <v>867</v>
      </c>
      <c r="E21" t="s">
        <v>796</v>
      </c>
      <c r="F21" t="s">
        <v>756</v>
      </c>
      <c r="G21" s="50">
        <v>240.21</v>
      </c>
      <c r="H21" s="50">
        <v>108</v>
      </c>
      <c r="I21" s="50">
        <v>348.21</v>
      </c>
      <c r="J21" s="50">
        <v>348.21</v>
      </c>
    </row>
    <row r="22" spans="1:10">
      <c r="A22" s="105">
        <v>45469</v>
      </c>
      <c r="B22" s="131" t="s">
        <v>732</v>
      </c>
      <c r="C22" t="s">
        <v>882</v>
      </c>
      <c r="D22" t="s">
        <v>867</v>
      </c>
      <c r="E22" t="s">
        <v>798</v>
      </c>
      <c r="F22" t="s">
        <v>800</v>
      </c>
      <c r="G22" s="50">
        <v>240.21</v>
      </c>
      <c r="H22" s="50">
        <v>108</v>
      </c>
      <c r="I22" s="50">
        <v>348.21</v>
      </c>
      <c r="J22" s="50">
        <v>348.21</v>
      </c>
    </row>
    <row r="23" spans="1:10">
      <c r="A23" s="105">
        <v>45482</v>
      </c>
      <c r="B23" s="131" t="s">
        <v>13</v>
      </c>
      <c r="C23" t="s">
        <v>883</v>
      </c>
      <c r="D23" t="s">
        <v>867</v>
      </c>
      <c r="E23" t="s">
        <v>802</v>
      </c>
      <c r="F23" t="s">
        <v>804</v>
      </c>
      <c r="G23" s="50">
        <v>240.21</v>
      </c>
      <c r="H23" s="50">
        <v>108</v>
      </c>
      <c r="I23" s="50">
        <v>348.21</v>
      </c>
      <c r="J23" s="50">
        <v>348.21</v>
      </c>
    </row>
    <row r="24" spans="1:10">
      <c r="A24" s="105">
        <v>45495</v>
      </c>
      <c r="B24" s="131" t="s">
        <v>13</v>
      </c>
      <c r="C24" t="s">
        <v>884</v>
      </c>
      <c r="D24" t="s">
        <v>867</v>
      </c>
      <c r="E24" t="s">
        <v>806</v>
      </c>
      <c r="F24" t="s">
        <v>808</v>
      </c>
      <c r="G24" s="50">
        <v>494.18</v>
      </c>
      <c r="H24" s="50">
        <v>198</v>
      </c>
      <c r="I24" s="50">
        <v>692.18</v>
      </c>
      <c r="J24" s="50">
        <v>692.18</v>
      </c>
    </row>
    <row r="25" spans="1:10">
      <c r="A25" s="105">
        <v>45541</v>
      </c>
      <c r="B25" s="131" t="s">
        <v>734</v>
      </c>
      <c r="C25" t="s">
        <v>885</v>
      </c>
      <c r="D25" t="s">
        <v>867</v>
      </c>
      <c r="E25" t="s">
        <v>810</v>
      </c>
      <c r="F25" t="s">
        <v>760</v>
      </c>
      <c r="G25" s="50">
        <v>501.18</v>
      </c>
      <c r="H25" s="50">
        <v>222</v>
      </c>
      <c r="I25" s="50">
        <v>723.18</v>
      </c>
      <c r="J25" s="50">
        <v>723.18</v>
      </c>
    </row>
    <row r="26" spans="1:10">
      <c r="A26" s="105">
        <v>45541</v>
      </c>
      <c r="B26" s="131" t="s">
        <v>734</v>
      </c>
      <c r="C26" t="s">
        <v>886</v>
      </c>
      <c r="D26" t="s">
        <v>867</v>
      </c>
      <c r="E26" t="s">
        <v>812</v>
      </c>
      <c r="F26" t="s">
        <v>780</v>
      </c>
      <c r="G26" s="50">
        <v>240.21</v>
      </c>
      <c r="H26" s="50">
        <v>108</v>
      </c>
      <c r="I26" s="50">
        <v>348.21</v>
      </c>
      <c r="J26" s="50">
        <v>348.21</v>
      </c>
    </row>
    <row r="27" spans="1:10">
      <c r="A27" s="105">
        <v>45554</v>
      </c>
      <c r="B27" s="131" t="s">
        <v>734</v>
      </c>
      <c r="C27" t="s">
        <v>887</v>
      </c>
      <c r="D27" t="s">
        <v>867</v>
      </c>
      <c r="E27" t="s">
        <v>814</v>
      </c>
      <c r="F27" t="s">
        <v>764</v>
      </c>
      <c r="G27" s="50">
        <v>325.01</v>
      </c>
      <c r="H27" s="50">
        <v>120</v>
      </c>
      <c r="I27" s="50">
        <v>445.01</v>
      </c>
      <c r="J27" s="50">
        <v>445.01</v>
      </c>
    </row>
    <row r="28" spans="1:10">
      <c r="A28" s="105">
        <v>45612</v>
      </c>
      <c r="B28" s="131" t="s">
        <v>736</v>
      </c>
      <c r="C28" t="s">
        <v>888</v>
      </c>
      <c r="D28" t="s">
        <v>867</v>
      </c>
      <c r="E28" t="s">
        <v>823</v>
      </c>
      <c r="F28" t="s">
        <v>776</v>
      </c>
      <c r="G28" s="50">
        <v>225.81</v>
      </c>
      <c r="H28" s="50">
        <v>126</v>
      </c>
      <c r="I28" s="50">
        <v>351.81</v>
      </c>
      <c r="J28" s="50">
        <v>351.81</v>
      </c>
    </row>
    <row r="29" spans="1:10">
      <c r="A29" s="105">
        <v>45612</v>
      </c>
      <c r="B29" s="131" t="s">
        <v>736</v>
      </c>
      <c r="C29" t="s">
        <v>889</v>
      </c>
      <c r="D29" t="s">
        <v>867</v>
      </c>
      <c r="E29" t="s">
        <v>825</v>
      </c>
      <c r="F29" t="s">
        <v>808</v>
      </c>
      <c r="G29" s="50">
        <v>225.81</v>
      </c>
      <c r="H29" s="50">
        <v>126</v>
      </c>
      <c r="I29" s="50">
        <v>351.81</v>
      </c>
      <c r="J29" s="50">
        <v>351.81</v>
      </c>
    </row>
    <row r="30" spans="1:10">
      <c r="A30" s="105">
        <v>45622</v>
      </c>
      <c r="B30" s="131" t="s">
        <v>736</v>
      </c>
      <c r="C30" t="s">
        <v>890</v>
      </c>
      <c r="D30" t="s">
        <v>867</v>
      </c>
      <c r="E30" t="s">
        <v>827</v>
      </c>
      <c r="F30" t="s">
        <v>800</v>
      </c>
      <c r="G30" s="50">
        <v>501.18</v>
      </c>
      <c r="H30" s="50">
        <v>222</v>
      </c>
      <c r="I30" s="50">
        <v>723.18</v>
      </c>
      <c r="J30" s="50">
        <v>723.18</v>
      </c>
    </row>
    <row r="31" spans="1:10">
      <c r="A31" s="105">
        <v>45639</v>
      </c>
      <c r="B31" s="131" t="s">
        <v>737</v>
      </c>
      <c r="C31" t="s">
        <v>891</v>
      </c>
      <c r="D31" t="s">
        <v>867</v>
      </c>
      <c r="E31" t="s">
        <v>847</v>
      </c>
      <c r="F31" t="s">
        <v>760</v>
      </c>
      <c r="G31" s="50">
        <v>325.01</v>
      </c>
      <c r="H31" s="50">
        <v>120</v>
      </c>
      <c r="I31" s="50">
        <v>445.01</v>
      </c>
      <c r="J31" s="50">
        <v>445.01</v>
      </c>
    </row>
    <row r="33" spans="10:10" ht="15.75" thickBot="1">
      <c r="J33" s="129">
        <f>SUM(J12:J32)</f>
        <v>9590.6400000000012</v>
      </c>
    </row>
    <row r="34" spans="10:10" ht="15.75" thickTop="1"/>
  </sheetData>
  <autoFilter ref="A2:AA2" xr:uid="{BAB881FA-CA0D-4C65-9F93-CC4406F43CC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1B010-2DA2-4929-B213-3FD0536488A3}">
  <sheetPr>
    <pageSetUpPr fitToPage="1"/>
  </sheetPr>
  <dimension ref="B1:S71"/>
  <sheetViews>
    <sheetView view="pageBreakPreview" topLeftCell="A19" zoomScaleNormal="100" zoomScaleSheetLayoutView="100" workbookViewId="0">
      <selection activeCell="I47" sqref="I47"/>
    </sheetView>
  </sheetViews>
  <sheetFormatPr defaultColWidth="8.85546875" defaultRowHeight="15"/>
  <cols>
    <col min="1" max="1" width="2" customWidth="1"/>
    <col min="2" max="2" width="11.7109375" customWidth="1"/>
    <col min="3" max="3" width="8.140625" customWidth="1"/>
    <col min="4" max="7" width="14.85546875" customWidth="1"/>
    <col min="8" max="8" width="11.85546875" customWidth="1"/>
    <col min="9" max="12" width="14.85546875" customWidth="1"/>
    <col min="13" max="13" width="8.140625" customWidth="1"/>
    <col min="14" max="15" width="14.85546875" customWidth="1"/>
    <col min="16" max="16" width="8.7109375" customWidth="1"/>
    <col min="17" max="17" width="16.7109375" customWidth="1"/>
    <col min="18" max="18" width="12.7109375" bestFit="1" customWidth="1"/>
    <col min="19" max="19" width="4.85546875" customWidth="1"/>
  </cols>
  <sheetData>
    <row r="1" spans="2:19" ht="23.25">
      <c r="B1" s="1" t="s">
        <v>24</v>
      </c>
      <c r="O1" s="1"/>
    </row>
    <row r="2" spans="2:19" ht="18.75">
      <c r="B2" s="2" t="s">
        <v>46</v>
      </c>
    </row>
    <row r="3" spans="2:19" ht="15.75" thickBot="1"/>
    <row r="4" spans="2:19" ht="15.75" thickBot="1">
      <c r="C4" s="246" t="s">
        <v>0</v>
      </c>
      <c r="D4" s="247"/>
      <c r="E4" s="247"/>
      <c r="F4" s="247"/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248"/>
      <c r="R4" s="48"/>
      <c r="S4" s="48"/>
    </row>
    <row r="5" spans="2:19" ht="16.5" customHeight="1" thickBot="1">
      <c r="C5" s="249" t="s">
        <v>25</v>
      </c>
      <c r="D5" s="250"/>
      <c r="E5" s="250"/>
      <c r="F5" s="250"/>
      <c r="G5" s="251"/>
      <c r="H5" s="249" t="s">
        <v>27</v>
      </c>
      <c r="I5" s="250"/>
      <c r="J5" s="250"/>
      <c r="K5" s="250"/>
      <c r="L5" s="251"/>
      <c r="M5" s="246" t="s">
        <v>1</v>
      </c>
      <c r="N5" s="247"/>
      <c r="O5" s="248"/>
      <c r="P5" s="252" t="s">
        <v>29</v>
      </c>
      <c r="Q5" s="253"/>
      <c r="R5" s="49"/>
      <c r="S5" s="49"/>
    </row>
    <row r="6" spans="2:19" ht="15.75" thickBot="1">
      <c r="C6" s="30" t="s">
        <v>3</v>
      </c>
      <c r="D6" s="35" t="s">
        <v>48</v>
      </c>
      <c r="E6" s="33" t="s">
        <v>47</v>
      </c>
      <c r="F6" s="33" t="s">
        <v>726</v>
      </c>
      <c r="G6" s="32" t="s">
        <v>26</v>
      </c>
      <c r="H6" s="30" t="s">
        <v>28</v>
      </c>
      <c r="I6" s="35" t="s">
        <v>48</v>
      </c>
      <c r="J6" s="33" t="s">
        <v>47</v>
      </c>
      <c r="K6" s="33" t="s">
        <v>726</v>
      </c>
      <c r="L6" s="32" t="s">
        <v>26</v>
      </c>
      <c r="M6" s="30" t="s">
        <v>28</v>
      </c>
      <c r="N6" s="33" t="s">
        <v>4</v>
      </c>
      <c r="O6" s="31" t="s">
        <v>5</v>
      </c>
      <c r="P6" s="58" t="s">
        <v>28</v>
      </c>
      <c r="Q6" s="59" t="s">
        <v>29</v>
      </c>
      <c r="R6" s="16" t="s">
        <v>38</v>
      </c>
      <c r="S6" s="16"/>
    </row>
    <row r="7" spans="2:19">
      <c r="B7" s="13" t="s">
        <v>7</v>
      </c>
      <c r="C7" s="18">
        <v>2</v>
      </c>
      <c r="D7" s="36">
        <f>'HINO 2025'!G2+'HINO 2025'!G3</f>
        <v>62208.689999999995</v>
      </c>
      <c r="E7" s="36">
        <f>'HINO 2025'!H2+'HINO 2025'!H3</f>
        <v>19860</v>
      </c>
      <c r="F7" s="34">
        <v>950</v>
      </c>
      <c r="G7" s="19">
        <v>0</v>
      </c>
      <c r="H7" s="21">
        <v>1</v>
      </c>
      <c r="I7" s="36">
        <f>'HINO 2025'!G4</f>
        <v>908.52</v>
      </c>
      <c r="J7" s="36">
        <f>'HINO 2025'!H4</f>
        <v>480</v>
      </c>
      <c r="K7" s="34">
        <v>0</v>
      </c>
      <c r="L7" s="22">
        <v>0</v>
      </c>
      <c r="M7" s="21">
        <v>0</v>
      </c>
      <c r="N7" s="39">
        <v>0</v>
      </c>
      <c r="O7" s="3">
        <v>0</v>
      </c>
      <c r="P7" s="71">
        <f>SUM(C7+H7+M7)</f>
        <v>3</v>
      </c>
      <c r="Q7" s="61">
        <f>D7+E7+F7+G7+I7+J7+L7+K7+N7+O7</f>
        <v>84407.21</v>
      </c>
      <c r="R7" s="50">
        <f>Q7/P7</f>
        <v>28135.736666666668</v>
      </c>
      <c r="S7" s="50"/>
    </row>
    <row r="8" spans="2:19">
      <c r="B8" s="14" t="s">
        <v>8</v>
      </c>
      <c r="C8" s="18">
        <v>5</v>
      </c>
      <c r="D8" s="36">
        <f>'HINO 2025'!G5+'HINO 2025'!G6+'HINO 2025'!G8+'HINO 2025'!G9+'HINO 2025'!G10</f>
        <v>102728.34000000001</v>
      </c>
      <c r="E8" s="36">
        <f>'HINO 2025'!H5+'HINO 2025'!H6+'HINO 2025'!H8+'HINO 2025'!H9+'HINO 2025'!H10</f>
        <v>14760</v>
      </c>
      <c r="F8" s="34">
        <v>2280</v>
      </c>
      <c r="G8" s="19">
        <v>0</v>
      </c>
      <c r="H8" s="21">
        <v>1</v>
      </c>
      <c r="I8" s="36">
        <f>'HINO 2025'!G7</f>
        <v>973.08</v>
      </c>
      <c r="J8" s="36">
        <f>'HINO 2025'!H7</f>
        <v>420</v>
      </c>
      <c r="K8" s="34">
        <v>0</v>
      </c>
      <c r="L8" s="22">
        <v>0</v>
      </c>
      <c r="M8" s="21">
        <v>0</v>
      </c>
      <c r="N8" s="34">
        <v>0</v>
      </c>
      <c r="O8" s="7">
        <v>0</v>
      </c>
      <c r="P8" s="71">
        <f t="shared" ref="P8:P18" si="0">SUM(C8+H8+M8)</f>
        <v>6</v>
      </c>
      <c r="Q8" s="61">
        <f t="shared" ref="Q8:Q18" si="1">D8+E8+F8+G8+I8+J8+L8+K8+N8+O8</f>
        <v>121161.42000000001</v>
      </c>
      <c r="R8" s="50">
        <f t="shared" ref="R8:R18" si="2">Q8/P8</f>
        <v>20193.570000000003</v>
      </c>
      <c r="S8" s="50"/>
    </row>
    <row r="9" spans="2:19">
      <c r="B9" s="14" t="s">
        <v>9</v>
      </c>
      <c r="C9" s="18">
        <v>1</v>
      </c>
      <c r="D9" s="36">
        <f>'HINO 2025'!G13</f>
        <v>110273.46</v>
      </c>
      <c r="E9" s="36">
        <f>'HINO 2025'!H13</f>
        <v>5028</v>
      </c>
      <c r="F9" s="34">
        <v>0</v>
      </c>
      <c r="G9" s="19">
        <v>0</v>
      </c>
      <c r="H9" s="21">
        <v>3</v>
      </c>
      <c r="I9" s="36">
        <f>'HINO 2025'!G11+'HINO 2025'!G12+'HINO 2025'!G14</f>
        <v>2634.2400000000002</v>
      </c>
      <c r="J9" s="36">
        <f>'HINO 2025'!H11+'HINO 2025'!H12+'HINO 2025'!H14</f>
        <v>1260</v>
      </c>
      <c r="K9" s="34">
        <v>0</v>
      </c>
      <c r="L9" s="22">
        <v>0</v>
      </c>
      <c r="M9" s="21">
        <v>0</v>
      </c>
      <c r="N9" s="34">
        <v>0</v>
      </c>
      <c r="O9" s="7">
        <v>0</v>
      </c>
      <c r="P9" s="71">
        <f t="shared" si="0"/>
        <v>4</v>
      </c>
      <c r="Q9" s="61">
        <f t="shared" si="1"/>
        <v>119195.70000000001</v>
      </c>
      <c r="R9" s="50">
        <f t="shared" si="2"/>
        <v>29798.925000000003</v>
      </c>
      <c r="S9" s="50"/>
    </row>
    <row r="10" spans="2:19">
      <c r="B10" s="14" t="s">
        <v>10</v>
      </c>
      <c r="C10" s="18">
        <v>4</v>
      </c>
      <c r="D10" s="36">
        <v>204242.82</v>
      </c>
      <c r="E10" s="34">
        <v>16848</v>
      </c>
      <c r="F10" s="34">
        <v>2907</v>
      </c>
      <c r="G10" s="19">
        <v>0</v>
      </c>
      <c r="H10" s="21">
        <v>0</v>
      </c>
      <c r="I10" s="36">
        <v>0</v>
      </c>
      <c r="J10" s="34">
        <v>0</v>
      </c>
      <c r="K10" s="34">
        <v>0</v>
      </c>
      <c r="L10" s="22">
        <v>0</v>
      </c>
      <c r="M10" s="21">
        <v>0</v>
      </c>
      <c r="N10" s="34">
        <v>0</v>
      </c>
      <c r="O10" s="7">
        <v>0</v>
      </c>
      <c r="P10" s="71">
        <f t="shared" si="0"/>
        <v>4</v>
      </c>
      <c r="Q10" s="61">
        <f t="shared" si="1"/>
        <v>223997.82</v>
      </c>
      <c r="R10" s="50">
        <f t="shared" si="2"/>
        <v>55999.455000000002</v>
      </c>
      <c r="S10" s="50"/>
    </row>
    <row r="11" spans="2:19">
      <c r="B11" s="14" t="s">
        <v>11</v>
      </c>
      <c r="C11" s="18">
        <v>3</v>
      </c>
      <c r="D11" s="36">
        <v>39133.910000000003</v>
      </c>
      <c r="E11" s="34">
        <v>21360</v>
      </c>
      <c r="F11" s="34">
        <v>6615.37</v>
      </c>
      <c r="G11" s="19">
        <v>0</v>
      </c>
      <c r="H11" s="21">
        <v>1</v>
      </c>
      <c r="I11" s="36">
        <v>973.08</v>
      </c>
      <c r="J11" s="34">
        <v>420</v>
      </c>
      <c r="K11" s="34">
        <v>0</v>
      </c>
      <c r="L11" s="22">
        <v>0</v>
      </c>
      <c r="M11" s="21">
        <v>1</v>
      </c>
      <c r="N11" s="34">
        <v>975</v>
      </c>
      <c r="O11" s="7"/>
      <c r="P11" s="71">
        <f t="shared" si="0"/>
        <v>5</v>
      </c>
      <c r="Q11" s="61">
        <f t="shared" si="1"/>
        <v>69477.36</v>
      </c>
      <c r="R11" s="50">
        <f t="shared" si="2"/>
        <v>13895.472</v>
      </c>
      <c r="S11" s="50"/>
    </row>
    <row r="12" spans="2:19">
      <c r="B12" s="14" t="s">
        <v>12</v>
      </c>
      <c r="C12" s="18">
        <v>3</v>
      </c>
      <c r="D12" s="36">
        <v>92302.720000000001</v>
      </c>
      <c r="E12" s="34">
        <v>13246.8</v>
      </c>
      <c r="F12" s="34">
        <v>6378</v>
      </c>
      <c r="G12" s="20">
        <v>0</v>
      </c>
      <c r="H12" s="23">
        <v>0</v>
      </c>
      <c r="I12" s="37">
        <v>0</v>
      </c>
      <c r="J12" s="34">
        <v>0</v>
      </c>
      <c r="K12" s="34">
        <v>0</v>
      </c>
      <c r="L12" s="24">
        <v>0</v>
      </c>
      <c r="M12" s="23">
        <v>0</v>
      </c>
      <c r="N12" s="38">
        <v>0</v>
      </c>
      <c r="O12" s="12">
        <v>0</v>
      </c>
      <c r="P12" s="71">
        <f t="shared" si="0"/>
        <v>3</v>
      </c>
      <c r="Q12" s="61">
        <f t="shared" si="1"/>
        <v>111927.52</v>
      </c>
      <c r="R12" s="50">
        <f t="shared" si="2"/>
        <v>37309.173333333332</v>
      </c>
      <c r="S12" s="50"/>
    </row>
    <row r="13" spans="2:19">
      <c r="B13" s="14" t="s">
        <v>13</v>
      </c>
      <c r="C13" s="18">
        <v>7</v>
      </c>
      <c r="D13" s="36">
        <v>272907.57</v>
      </c>
      <c r="E13" s="34">
        <v>31188</v>
      </c>
      <c r="F13" s="34">
        <v>2261</v>
      </c>
      <c r="G13" s="20">
        <v>0</v>
      </c>
      <c r="H13" s="23">
        <v>2</v>
      </c>
      <c r="I13" s="37">
        <v>2231.16</v>
      </c>
      <c r="J13" s="34">
        <v>840</v>
      </c>
      <c r="K13" s="34">
        <v>0</v>
      </c>
      <c r="L13" s="24">
        <v>0</v>
      </c>
      <c r="M13" s="23">
        <v>0</v>
      </c>
      <c r="N13" s="38">
        <v>0</v>
      </c>
      <c r="O13" s="12">
        <v>0</v>
      </c>
      <c r="P13" s="71">
        <f t="shared" si="0"/>
        <v>9</v>
      </c>
      <c r="Q13" s="61">
        <f t="shared" si="1"/>
        <v>309427.73</v>
      </c>
      <c r="R13" s="50">
        <f t="shared" si="2"/>
        <v>34380.858888888884</v>
      </c>
      <c r="S13" s="50"/>
    </row>
    <row r="14" spans="2:19">
      <c r="B14" s="14" t="s">
        <v>14</v>
      </c>
      <c r="C14" s="18">
        <v>2</v>
      </c>
      <c r="D14" s="36">
        <v>10050.07</v>
      </c>
      <c r="E14" s="34">
        <v>4389</v>
      </c>
      <c r="F14" s="34">
        <v>0</v>
      </c>
      <c r="G14" s="20">
        <v>0</v>
      </c>
      <c r="H14" s="23">
        <v>2</v>
      </c>
      <c r="I14" s="37">
        <v>1887.84</v>
      </c>
      <c r="J14" s="34">
        <v>627</v>
      </c>
      <c r="K14" s="34">
        <v>0</v>
      </c>
      <c r="L14" s="24">
        <v>0</v>
      </c>
      <c r="M14" s="23">
        <v>0</v>
      </c>
      <c r="N14" s="38">
        <v>0</v>
      </c>
      <c r="O14" s="12">
        <v>0</v>
      </c>
      <c r="P14" s="71">
        <f t="shared" si="0"/>
        <v>4</v>
      </c>
      <c r="Q14" s="61">
        <f t="shared" si="1"/>
        <v>16953.91</v>
      </c>
      <c r="R14" s="50">
        <f t="shared" si="2"/>
        <v>4238.4775</v>
      </c>
      <c r="S14" s="50"/>
    </row>
    <row r="15" spans="2:19">
      <c r="B15" s="14" t="s">
        <v>15</v>
      </c>
      <c r="C15" s="18">
        <v>4</v>
      </c>
      <c r="D15" s="36">
        <v>82294.179999999993</v>
      </c>
      <c r="E15" s="34">
        <v>16188</v>
      </c>
      <c r="F15" s="34">
        <v>3935</v>
      </c>
      <c r="G15" s="20">
        <v>0</v>
      </c>
      <c r="H15" s="23">
        <v>1</v>
      </c>
      <c r="I15" s="37">
        <v>994.08</v>
      </c>
      <c r="J15" s="34">
        <v>399</v>
      </c>
      <c r="K15" s="34">
        <v>0</v>
      </c>
      <c r="L15" s="24">
        <v>0</v>
      </c>
      <c r="M15" s="23">
        <v>2</v>
      </c>
      <c r="N15" s="38">
        <v>7060</v>
      </c>
      <c r="O15" s="12">
        <v>0</v>
      </c>
      <c r="P15" s="71">
        <f t="shared" si="0"/>
        <v>7</v>
      </c>
      <c r="Q15" s="61">
        <f t="shared" si="1"/>
        <v>110870.26</v>
      </c>
      <c r="R15" s="50">
        <f t="shared" si="2"/>
        <v>15838.608571428571</v>
      </c>
      <c r="S15" s="50"/>
    </row>
    <row r="16" spans="2:19">
      <c r="B16" s="14" t="s">
        <v>16</v>
      </c>
      <c r="C16" s="18">
        <v>6</v>
      </c>
      <c r="D16" s="36">
        <v>157880.89000000001</v>
      </c>
      <c r="E16" s="34">
        <v>29979.15</v>
      </c>
      <c r="F16" s="34">
        <v>0</v>
      </c>
      <c r="G16" s="20">
        <v>0</v>
      </c>
      <c r="H16" s="23">
        <v>3</v>
      </c>
      <c r="I16" s="37">
        <v>2032.24</v>
      </c>
      <c r="J16" s="34">
        <v>1197</v>
      </c>
      <c r="K16" s="34">
        <v>0</v>
      </c>
      <c r="L16" s="24">
        <v>0</v>
      </c>
      <c r="M16" s="23">
        <v>0</v>
      </c>
      <c r="N16" s="38">
        <v>0</v>
      </c>
      <c r="O16" s="12">
        <v>0</v>
      </c>
      <c r="P16" s="71">
        <f t="shared" si="0"/>
        <v>9</v>
      </c>
      <c r="Q16" s="61">
        <f t="shared" si="1"/>
        <v>191089.28</v>
      </c>
      <c r="R16" s="50">
        <f t="shared" si="2"/>
        <v>21232.142222222221</v>
      </c>
      <c r="S16" s="50"/>
    </row>
    <row r="17" spans="2:19">
      <c r="B17" s="14" t="s">
        <v>17</v>
      </c>
      <c r="C17" s="18">
        <v>6</v>
      </c>
      <c r="D17" s="36">
        <v>171427.56</v>
      </c>
      <c r="E17" s="34">
        <v>35017.379999999997</v>
      </c>
      <c r="F17" s="34">
        <v>9520</v>
      </c>
      <c r="G17" s="20">
        <v>0</v>
      </c>
      <c r="H17" s="23">
        <v>2</v>
      </c>
      <c r="I17" s="37">
        <v>658.16</v>
      </c>
      <c r="J17" s="34">
        <v>798</v>
      </c>
      <c r="K17" s="34">
        <v>0</v>
      </c>
      <c r="L17" s="20">
        <v>0</v>
      </c>
      <c r="M17" s="23">
        <v>0</v>
      </c>
      <c r="N17" s="38">
        <v>0</v>
      </c>
      <c r="O17" s="12">
        <v>0</v>
      </c>
      <c r="P17" s="71">
        <f t="shared" si="0"/>
        <v>8</v>
      </c>
      <c r="Q17" s="61">
        <f t="shared" si="1"/>
        <v>217421.1</v>
      </c>
      <c r="R17" s="50">
        <f t="shared" si="2"/>
        <v>27177.637500000001</v>
      </c>
      <c r="S17" s="50"/>
    </row>
    <row r="18" spans="2:19" ht="15.75" thickBot="1">
      <c r="B18" s="15" t="s">
        <v>18</v>
      </c>
      <c r="C18" s="25">
        <v>3</v>
      </c>
      <c r="D18" s="76">
        <v>82793.62</v>
      </c>
      <c r="E18" s="42">
        <v>18616.2</v>
      </c>
      <c r="F18" s="42">
        <v>950</v>
      </c>
      <c r="G18" s="26">
        <v>0</v>
      </c>
      <c r="H18" s="27">
        <v>0</v>
      </c>
      <c r="I18" s="45">
        <v>0</v>
      </c>
      <c r="J18" s="42">
        <v>0</v>
      </c>
      <c r="K18" s="42">
        <v>0</v>
      </c>
      <c r="L18" s="28">
        <v>0</v>
      </c>
      <c r="M18" s="27">
        <v>0</v>
      </c>
      <c r="N18" s="44">
        <v>0</v>
      </c>
      <c r="O18" s="29">
        <v>0</v>
      </c>
      <c r="P18" s="72">
        <f t="shared" si="0"/>
        <v>3</v>
      </c>
      <c r="Q18" s="63">
        <f t="shared" si="1"/>
        <v>102359.81999999999</v>
      </c>
      <c r="R18" s="50">
        <f t="shared" si="2"/>
        <v>34119.939999999995</v>
      </c>
      <c r="S18" s="50"/>
    </row>
    <row r="19" spans="2:19" ht="15.75" thickBot="1">
      <c r="C19" s="41">
        <f t="shared" ref="C19:O19" si="3">SUM(C7:C18)</f>
        <v>46</v>
      </c>
      <c r="D19" s="4">
        <f t="shared" si="3"/>
        <v>1388243.83</v>
      </c>
      <c r="E19" s="4">
        <f t="shared" si="3"/>
        <v>226480.53</v>
      </c>
      <c r="F19" s="4">
        <f t="shared" si="3"/>
        <v>35796.369999999995</v>
      </c>
      <c r="G19" s="4">
        <f t="shared" si="3"/>
        <v>0</v>
      </c>
      <c r="H19" s="11">
        <f>SUM(H7:H18)</f>
        <v>16</v>
      </c>
      <c r="I19" s="4">
        <f>SUM(I7:I18)</f>
        <v>13292.4</v>
      </c>
      <c r="J19" s="4">
        <f t="shared" ref="J19:L19" si="4">SUM(J7:J18)</f>
        <v>6441</v>
      </c>
      <c r="K19" s="4">
        <f t="shared" si="4"/>
        <v>0</v>
      </c>
      <c r="L19" s="4">
        <f t="shared" si="4"/>
        <v>0</v>
      </c>
      <c r="M19" s="11">
        <f>SUM(M7:M18)</f>
        <v>3</v>
      </c>
      <c r="N19" s="4">
        <f t="shared" si="3"/>
        <v>8035</v>
      </c>
      <c r="O19" s="4">
        <f t="shared" si="3"/>
        <v>0</v>
      </c>
      <c r="P19" s="69">
        <f>SUM(P7:P18)</f>
        <v>65</v>
      </c>
      <c r="Q19" s="70">
        <f>SUM(Q7:Q18)</f>
        <v>1678289.1300000001</v>
      </c>
      <c r="R19" s="50">
        <f>Q19/P19</f>
        <v>25819.832769230772</v>
      </c>
      <c r="S19" s="50"/>
    </row>
    <row r="20" spans="2:19" ht="15.75" thickTop="1">
      <c r="C20" s="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  <c r="Q20" s="5"/>
      <c r="R20" s="5"/>
      <c r="S20" s="5"/>
    </row>
    <row r="21" spans="2:19" ht="15.75" thickBot="1">
      <c r="C21" s="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6"/>
      <c r="Q21" s="5"/>
      <c r="R21" s="5"/>
      <c r="S21" s="5"/>
    </row>
    <row r="22" spans="2:19" ht="15.75" thickBot="1">
      <c r="C22" s="246" t="s">
        <v>30</v>
      </c>
      <c r="D22" s="247"/>
      <c r="E22" s="247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8"/>
      <c r="R22" s="48"/>
      <c r="S22" s="48"/>
    </row>
    <row r="23" spans="2:19" ht="15.75" thickBot="1">
      <c r="C23" s="249" t="s">
        <v>25</v>
      </c>
      <c r="D23" s="250"/>
      <c r="E23" s="250"/>
      <c r="F23" s="250"/>
      <c r="G23" s="251"/>
      <c r="H23" s="249" t="s">
        <v>27</v>
      </c>
      <c r="I23" s="250"/>
      <c r="J23" s="250"/>
      <c r="K23" s="250"/>
      <c r="L23" s="251"/>
      <c r="M23" s="246" t="s">
        <v>1</v>
      </c>
      <c r="N23" s="247"/>
      <c r="O23" s="247"/>
      <c r="P23" s="252" t="s">
        <v>29</v>
      </c>
      <c r="Q23" s="253"/>
    </row>
    <row r="24" spans="2:19" ht="15.75" thickBot="1">
      <c r="C24" s="30" t="s">
        <v>3</v>
      </c>
      <c r="D24" s="35" t="s">
        <v>48</v>
      </c>
      <c r="E24" s="33" t="s">
        <v>47</v>
      </c>
      <c r="F24" s="33" t="s">
        <v>726</v>
      </c>
      <c r="G24" s="32" t="s">
        <v>26</v>
      </c>
      <c r="H24" s="30" t="s">
        <v>28</v>
      </c>
      <c r="I24" s="35" t="s">
        <v>48</v>
      </c>
      <c r="J24" s="33" t="s">
        <v>47</v>
      </c>
      <c r="K24" s="33" t="s">
        <v>726</v>
      </c>
      <c r="L24" s="32" t="s">
        <v>26</v>
      </c>
      <c r="M24" s="30" t="s">
        <v>28</v>
      </c>
      <c r="N24" s="33" t="s">
        <v>4</v>
      </c>
      <c r="O24" s="31" t="s">
        <v>5</v>
      </c>
      <c r="P24" s="58" t="s">
        <v>28</v>
      </c>
      <c r="Q24" s="59" t="s">
        <v>29</v>
      </c>
      <c r="R24" s="16" t="s">
        <v>38</v>
      </c>
      <c r="S24" s="16"/>
    </row>
    <row r="25" spans="2:19">
      <c r="B25" s="13" t="s">
        <v>7</v>
      </c>
      <c r="C25" s="18">
        <v>10</v>
      </c>
      <c r="D25" s="36">
        <f>'MITS 2025'!G2+'MITS 2025'!G4+'MITS 2025'!G5+'MITS 2025'!G7+'MITS 2025'!G8+'MITS 2025'!G11+'MITS 2025'!G12+'MITS 2025'!G13+'MITS 2025'!G14+'MITS 2025'!G15</f>
        <v>98603.04</v>
      </c>
      <c r="E25" s="36">
        <f>'MITS 2025'!H2+'MITS 2025'!H4+'MITS 2025'!H5+'MITS 2025'!H7+'MITS 2025'!H8+'MITS 2025'!H11+'MITS 2025'!H12+'MITS 2025'!H13+'MITS 2025'!H14+'MITS 2025'!H15</f>
        <v>36816</v>
      </c>
      <c r="F25" s="34">
        <v>0</v>
      </c>
      <c r="G25" s="19">
        <f>'MITS 2025'!K9</f>
        <v>515</v>
      </c>
      <c r="H25" s="21">
        <v>2</v>
      </c>
      <c r="I25" s="36">
        <f>'MITS 2025'!G3+'MITS 2025'!G6</f>
        <v>4181.87</v>
      </c>
      <c r="J25" s="36">
        <f>'MITS 2025'!H3+'MITS 2025'!H6</f>
        <v>528</v>
      </c>
      <c r="K25" s="34">
        <v>0</v>
      </c>
      <c r="L25" s="22">
        <v>0</v>
      </c>
      <c r="M25" s="21">
        <v>1</v>
      </c>
      <c r="N25" s="39">
        <v>0</v>
      </c>
      <c r="O25" s="3">
        <f>'MITS 2025'!K10</f>
        <v>115</v>
      </c>
      <c r="P25" s="60">
        <f>SUM(C25+H25+M25)</f>
        <v>13</v>
      </c>
      <c r="Q25" s="61">
        <f>D25+E25+F25+G25+I25+J25+K25+L25+N25+O25</f>
        <v>140758.90999999997</v>
      </c>
      <c r="R25" s="50">
        <f>Q25/P25</f>
        <v>10827.608461538459</v>
      </c>
      <c r="S25" s="50"/>
    </row>
    <row r="26" spans="2:19">
      <c r="B26" s="14" t="s">
        <v>8</v>
      </c>
      <c r="C26" s="18">
        <v>8</v>
      </c>
      <c r="D26" s="36">
        <f>'MITS 2025'!G16+'MITS 2025'!G17+'MITS 2025'!G20+'MITS 2025'!G23+'MITS 2025'!G24+'MITS 2025'!G25+'MITS 2025'!G26+'MITS 2025'!G27</f>
        <v>88403.77</v>
      </c>
      <c r="E26" s="36">
        <f>'MITS 2025'!H16+'MITS 2025'!H17+'MITS 2025'!H20+'MITS 2025'!H23+'MITS 2025'!H24+'MITS 2025'!H25+'MITS 2025'!H26+'MITS 2025'!H27</f>
        <v>27570</v>
      </c>
      <c r="F26" s="34">
        <v>0</v>
      </c>
      <c r="G26" s="19">
        <v>0</v>
      </c>
      <c r="H26" s="21">
        <v>4</v>
      </c>
      <c r="I26" s="36">
        <f>'MITS 2025'!G18+'MITS 2025'!G19+'MITS 2025'!G21+'MITS 2025'!G28</f>
        <v>7232.75</v>
      </c>
      <c r="J26" s="36">
        <f>'MITS 2025'!H18+'MITS 2025'!H19+'MITS 2025'!H21+'MITS 2025'!H28</f>
        <v>1068</v>
      </c>
      <c r="K26" s="34">
        <v>0</v>
      </c>
      <c r="L26" s="22">
        <v>350</v>
      </c>
      <c r="M26" s="21">
        <v>1</v>
      </c>
      <c r="N26" s="34">
        <f>'MITS 2025'!K22</f>
        <v>1603.8</v>
      </c>
      <c r="O26" s="19">
        <v>0</v>
      </c>
      <c r="P26" s="60">
        <f t="shared" ref="P26:P36" si="5">SUM(C26+H26+M26)</f>
        <v>13</v>
      </c>
      <c r="Q26" s="61">
        <f t="shared" ref="Q26:Q36" si="6">D26+E26+F26+G26+I26+J26+K26+L26+N26+O26</f>
        <v>126228.32</v>
      </c>
      <c r="R26" s="50">
        <f t="shared" ref="R26:R37" si="7">Q26/P26</f>
        <v>9709.8707692307689</v>
      </c>
      <c r="S26" s="50"/>
    </row>
    <row r="27" spans="2:19">
      <c r="B27" s="14" t="s">
        <v>9</v>
      </c>
      <c r="C27" s="18">
        <v>9</v>
      </c>
      <c r="D27" s="36">
        <f>'MITS 2025'!G29+'MITS 2025'!G30+'MITS 2025'!G37+'MITS 2025'!G35+'MITS 2025'!G38+'MITS 2025'!G39+'MITS 2025'!G42+'MITS 2025'!G43+'MITS 2025'!G44</f>
        <v>78790.87</v>
      </c>
      <c r="E27" s="36">
        <f>'MITS 2025'!H29+'MITS 2025'!H30+'MITS 2025'!H37+'MITS 2025'!H35+'MITS 2025'!H38+'MITS 2025'!H39+'MITS 2025'!H42+'MITS 2025'!H43+'MITS 2025'!H44</f>
        <v>26745.599999999999</v>
      </c>
      <c r="F27" s="34">
        <v>1977.05</v>
      </c>
      <c r="G27" s="19">
        <v>0</v>
      </c>
      <c r="H27" s="21">
        <v>6</v>
      </c>
      <c r="I27" s="36">
        <f>'MITS 2025'!G31+'MITS 2025'!G32+'MITS 2025'!G33+'MITS 2025'!G36+'MITS 2025'!G40+'MITS 2025'!G41</f>
        <v>14086.820000000002</v>
      </c>
      <c r="J27" s="36">
        <f>'MITS 2025'!H31+'MITS 2025'!H32+'MITS 2025'!H33+'MITS 2025'!H36+'MITS 2025'!H40+'MITS 2025'!H41</f>
        <v>1476</v>
      </c>
      <c r="K27" s="34">
        <v>1027.98</v>
      </c>
      <c r="L27" s="22">
        <v>0</v>
      </c>
      <c r="M27" s="21">
        <v>1</v>
      </c>
      <c r="N27" s="34">
        <f>'MITS 2025'!K34</f>
        <v>1242.2</v>
      </c>
      <c r="O27" s="7">
        <v>0</v>
      </c>
      <c r="P27" s="60">
        <f t="shared" si="5"/>
        <v>16</v>
      </c>
      <c r="Q27" s="61">
        <f t="shared" si="6"/>
        <v>125346.52</v>
      </c>
      <c r="R27" s="50">
        <f t="shared" si="7"/>
        <v>7834.1575000000003</v>
      </c>
      <c r="S27" s="50"/>
    </row>
    <row r="28" spans="2:19">
      <c r="B28" s="14" t="s">
        <v>10</v>
      </c>
      <c r="C28" s="18">
        <v>4</v>
      </c>
      <c r="D28" s="36">
        <v>38080.99</v>
      </c>
      <c r="E28" s="34">
        <v>9636</v>
      </c>
      <c r="F28" s="34">
        <v>1805</v>
      </c>
      <c r="G28" s="19">
        <v>0</v>
      </c>
      <c r="H28" s="21">
        <v>6</v>
      </c>
      <c r="I28" s="36">
        <v>15145.54</v>
      </c>
      <c r="J28" s="34">
        <v>1536</v>
      </c>
      <c r="K28" s="34">
        <v>179.74</v>
      </c>
      <c r="L28" s="22">
        <v>0</v>
      </c>
      <c r="M28" s="21">
        <v>0</v>
      </c>
      <c r="N28" s="34">
        <v>0</v>
      </c>
      <c r="O28" s="7">
        <v>0</v>
      </c>
      <c r="P28" s="60">
        <f t="shared" si="5"/>
        <v>10</v>
      </c>
      <c r="Q28" s="61">
        <f t="shared" si="6"/>
        <v>66383.27</v>
      </c>
      <c r="R28" s="50">
        <f t="shared" si="7"/>
        <v>6638.3270000000002</v>
      </c>
      <c r="S28" s="50"/>
    </row>
    <row r="29" spans="2:19">
      <c r="B29" s="14" t="s">
        <v>11</v>
      </c>
      <c r="C29" s="18">
        <v>4</v>
      </c>
      <c r="D29" s="36">
        <v>59154.41</v>
      </c>
      <c r="E29" s="34">
        <v>22044</v>
      </c>
      <c r="F29" s="34">
        <v>0</v>
      </c>
      <c r="G29" s="19">
        <v>0</v>
      </c>
      <c r="H29" s="21">
        <v>5</v>
      </c>
      <c r="I29" s="36">
        <v>10917.52</v>
      </c>
      <c r="J29" s="34">
        <v>1260</v>
      </c>
      <c r="K29" s="34">
        <v>353.55</v>
      </c>
      <c r="L29" s="22">
        <v>0</v>
      </c>
      <c r="M29" s="21">
        <v>3</v>
      </c>
      <c r="N29" s="34">
        <v>5151.8999999999996</v>
      </c>
      <c r="O29" s="7">
        <v>7046.72</v>
      </c>
      <c r="P29" s="60">
        <f t="shared" si="5"/>
        <v>12</v>
      </c>
      <c r="Q29" s="61">
        <f t="shared" si="6"/>
        <v>105928.1</v>
      </c>
      <c r="R29" s="50">
        <f t="shared" si="7"/>
        <v>8827.3416666666672</v>
      </c>
      <c r="S29" s="50"/>
    </row>
    <row r="30" spans="2:19">
      <c r="B30" s="14" t="s">
        <v>12</v>
      </c>
      <c r="C30" s="18">
        <v>8</v>
      </c>
      <c r="D30" s="36">
        <v>125740.31</v>
      </c>
      <c r="E30" s="34">
        <v>33924</v>
      </c>
      <c r="F30" s="34">
        <v>2520.16</v>
      </c>
      <c r="G30" s="20">
        <v>0</v>
      </c>
      <c r="H30" s="23">
        <v>3</v>
      </c>
      <c r="I30" s="37">
        <v>7373.44</v>
      </c>
      <c r="J30" s="34">
        <v>804</v>
      </c>
      <c r="K30" s="34">
        <v>0</v>
      </c>
      <c r="L30" s="24">
        <v>0</v>
      </c>
      <c r="M30" s="23">
        <v>5</v>
      </c>
      <c r="N30" s="38">
        <v>2401</v>
      </c>
      <c r="O30" s="12">
        <v>6690.53</v>
      </c>
      <c r="P30" s="60">
        <f t="shared" si="5"/>
        <v>16</v>
      </c>
      <c r="Q30" s="61">
        <f t="shared" si="6"/>
        <v>179453.44</v>
      </c>
      <c r="R30" s="50">
        <f t="shared" si="7"/>
        <v>11215.84</v>
      </c>
      <c r="S30" s="50"/>
    </row>
    <row r="31" spans="2:19">
      <c r="B31" s="14" t="s">
        <v>13</v>
      </c>
      <c r="C31" s="18">
        <v>5</v>
      </c>
      <c r="D31" s="36">
        <v>52374.98</v>
      </c>
      <c r="E31" s="34">
        <v>18828</v>
      </c>
      <c r="F31" s="34">
        <v>2185</v>
      </c>
      <c r="G31" s="20">
        <v>0</v>
      </c>
      <c r="H31" s="23">
        <v>9</v>
      </c>
      <c r="I31" s="37">
        <v>18701.7</v>
      </c>
      <c r="J31" s="34">
        <v>2304</v>
      </c>
      <c r="K31" s="34">
        <v>501.92</v>
      </c>
      <c r="L31" s="24">
        <v>0</v>
      </c>
      <c r="M31" s="23">
        <v>1</v>
      </c>
      <c r="N31" s="38">
        <v>0</v>
      </c>
      <c r="O31" s="12">
        <v>6409.65</v>
      </c>
      <c r="P31" s="60">
        <f t="shared" si="5"/>
        <v>15</v>
      </c>
      <c r="Q31" s="61">
        <f t="shared" si="6"/>
        <v>101305.25</v>
      </c>
      <c r="R31" s="50">
        <f t="shared" si="7"/>
        <v>6753.6833333333334</v>
      </c>
      <c r="S31" s="50"/>
    </row>
    <row r="32" spans="2:19">
      <c r="B32" s="14" t="s">
        <v>14</v>
      </c>
      <c r="C32" s="18">
        <v>4</v>
      </c>
      <c r="D32" s="36">
        <v>50679.19</v>
      </c>
      <c r="E32" s="36">
        <v>10442.4</v>
      </c>
      <c r="F32" s="34">
        <v>1690.05</v>
      </c>
      <c r="G32" s="20">
        <v>0</v>
      </c>
      <c r="H32" s="23">
        <v>10</v>
      </c>
      <c r="I32" s="37">
        <v>19128.34</v>
      </c>
      <c r="J32" s="34">
        <v>2485.1999999999998</v>
      </c>
      <c r="K32" s="34">
        <v>539.65</v>
      </c>
      <c r="L32" s="24">
        <v>0</v>
      </c>
      <c r="M32" s="23">
        <v>1</v>
      </c>
      <c r="N32" s="38">
        <v>0</v>
      </c>
      <c r="O32" s="12">
        <v>676</v>
      </c>
      <c r="P32" s="60">
        <f t="shared" si="5"/>
        <v>15</v>
      </c>
      <c r="Q32" s="61">
        <f t="shared" si="6"/>
        <v>85640.83</v>
      </c>
      <c r="R32" s="50">
        <f t="shared" si="7"/>
        <v>5709.3886666666667</v>
      </c>
      <c r="S32" s="50"/>
    </row>
    <row r="33" spans="2:19">
      <c r="B33" s="14" t="s">
        <v>15</v>
      </c>
      <c r="C33" s="18">
        <v>6</v>
      </c>
      <c r="D33" s="36">
        <v>121390.93</v>
      </c>
      <c r="E33" s="34">
        <v>25182.6</v>
      </c>
      <c r="F33" s="34">
        <v>3531.15</v>
      </c>
      <c r="G33" s="20">
        <v>0</v>
      </c>
      <c r="H33" s="23">
        <v>4</v>
      </c>
      <c r="I33" s="37">
        <v>7771.57</v>
      </c>
      <c r="J33" s="34">
        <v>809.4</v>
      </c>
      <c r="K33" s="34">
        <v>99.94</v>
      </c>
      <c r="L33" s="24">
        <v>0</v>
      </c>
      <c r="M33" s="23">
        <v>0</v>
      </c>
      <c r="N33" s="38">
        <v>0</v>
      </c>
      <c r="O33" s="12">
        <v>0</v>
      </c>
      <c r="P33" s="60">
        <f t="shared" si="5"/>
        <v>10</v>
      </c>
      <c r="Q33" s="61">
        <f t="shared" si="6"/>
        <v>158785.59</v>
      </c>
      <c r="R33" s="50">
        <f t="shared" si="7"/>
        <v>15878.558999999999</v>
      </c>
      <c r="S33" s="50"/>
    </row>
    <row r="34" spans="2:19">
      <c r="B34" s="14" t="s">
        <v>16</v>
      </c>
      <c r="C34" s="18">
        <v>6</v>
      </c>
      <c r="D34" s="36">
        <v>112833.75</v>
      </c>
      <c r="E34" s="34">
        <v>28078.2</v>
      </c>
      <c r="F34" s="34">
        <v>75.95</v>
      </c>
      <c r="G34" s="20">
        <v>0</v>
      </c>
      <c r="H34" s="23">
        <v>5</v>
      </c>
      <c r="I34" s="37">
        <v>8150.69</v>
      </c>
      <c r="J34" s="34">
        <v>1242.5999999999999</v>
      </c>
      <c r="K34" s="34">
        <v>410.48</v>
      </c>
      <c r="L34" s="24">
        <v>0</v>
      </c>
      <c r="M34" s="23">
        <v>2</v>
      </c>
      <c r="N34" s="38">
        <v>93</v>
      </c>
      <c r="O34" s="12">
        <v>136.6</v>
      </c>
      <c r="P34" s="60">
        <f t="shared" si="5"/>
        <v>13</v>
      </c>
      <c r="Q34" s="61">
        <f t="shared" si="6"/>
        <v>151021.27000000005</v>
      </c>
      <c r="R34" s="50">
        <f t="shared" si="7"/>
        <v>11617.020769230772</v>
      </c>
      <c r="S34" s="50"/>
    </row>
    <row r="35" spans="2:19">
      <c r="B35" s="14" t="s">
        <v>17</v>
      </c>
      <c r="C35" s="18">
        <v>4</v>
      </c>
      <c r="D35" s="36">
        <v>87613.38</v>
      </c>
      <c r="E35" s="34">
        <v>12961.8</v>
      </c>
      <c r="F35" s="34">
        <v>0</v>
      </c>
      <c r="G35" s="20">
        <v>0</v>
      </c>
      <c r="H35" s="23">
        <v>6</v>
      </c>
      <c r="I35" s="37">
        <v>13755.31</v>
      </c>
      <c r="J35" s="34">
        <v>1447.8</v>
      </c>
      <c r="K35" s="34">
        <v>172.98</v>
      </c>
      <c r="L35" s="20">
        <v>0</v>
      </c>
      <c r="M35" s="23">
        <v>0</v>
      </c>
      <c r="N35" s="38">
        <v>0</v>
      </c>
      <c r="O35" s="12">
        <v>0</v>
      </c>
      <c r="P35" s="60">
        <f t="shared" si="5"/>
        <v>10</v>
      </c>
      <c r="Q35" s="61">
        <f t="shared" si="6"/>
        <v>115951.27</v>
      </c>
      <c r="R35" s="50">
        <f t="shared" si="7"/>
        <v>11595.127</v>
      </c>
      <c r="S35" s="50"/>
    </row>
    <row r="36" spans="2:19" ht="15.75" thickBot="1">
      <c r="B36" s="15" t="s">
        <v>18</v>
      </c>
      <c r="C36" s="25">
        <v>6</v>
      </c>
      <c r="D36" s="76">
        <v>95400.75</v>
      </c>
      <c r="E36" s="42">
        <v>19191.900000000001</v>
      </c>
      <c r="F36" s="42">
        <v>370.5</v>
      </c>
      <c r="G36" s="26">
        <v>0</v>
      </c>
      <c r="H36" s="27">
        <v>7</v>
      </c>
      <c r="I36" s="45">
        <v>10956.79</v>
      </c>
      <c r="J36" s="42">
        <v>1637.8</v>
      </c>
      <c r="K36" s="42">
        <v>1008.22</v>
      </c>
      <c r="L36" s="28">
        <v>0</v>
      </c>
      <c r="M36" s="27">
        <v>1</v>
      </c>
      <c r="N36" s="44">
        <v>962</v>
      </c>
      <c r="O36" s="29">
        <v>0</v>
      </c>
      <c r="P36" s="62">
        <f t="shared" si="5"/>
        <v>14</v>
      </c>
      <c r="Q36" s="63">
        <f t="shared" si="6"/>
        <v>129527.96</v>
      </c>
      <c r="R36" s="50">
        <f t="shared" si="7"/>
        <v>9251.9971428571425</v>
      </c>
      <c r="S36" s="50"/>
    </row>
    <row r="37" spans="2:19" ht="15.75" thickBot="1">
      <c r="C37" s="41">
        <f t="shared" ref="C37:O37" si="8">SUM(C25:C36)</f>
        <v>74</v>
      </c>
      <c r="D37" s="4">
        <f t="shared" si="8"/>
        <v>1009066.37</v>
      </c>
      <c r="E37" s="4">
        <f t="shared" si="8"/>
        <v>271420.5</v>
      </c>
      <c r="F37" s="4">
        <f t="shared" si="8"/>
        <v>14154.859999999999</v>
      </c>
      <c r="G37" s="4">
        <f t="shared" si="8"/>
        <v>515</v>
      </c>
      <c r="H37" s="11">
        <f>SUM(H25:H36)</f>
        <v>67</v>
      </c>
      <c r="I37" s="4">
        <f t="shared" si="8"/>
        <v>137402.34</v>
      </c>
      <c r="J37" s="4">
        <f t="shared" si="8"/>
        <v>16598.8</v>
      </c>
      <c r="K37" s="4">
        <f t="shared" si="8"/>
        <v>4294.46</v>
      </c>
      <c r="L37" s="4">
        <f t="shared" si="8"/>
        <v>350</v>
      </c>
      <c r="M37" s="11">
        <f>SUM(M25:M36)</f>
        <v>16</v>
      </c>
      <c r="N37" s="4">
        <f t="shared" si="8"/>
        <v>11453.9</v>
      </c>
      <c r="O37" s="4">
        <f t="shared" si="8"/>
        <v>21074.5</v>
      </c>
      <c r="P37" s="64">
        <f>SUM(P25:P36)</f>
        <v>157</v>
      </c>
      <c r="Q37" s="65">
        <f>SUM(Q25:Q36)</f>
        <v>1486330.73</v>
      </c>
      <c r="R37" s="50">
        <f t="shared" si="7"/>
        <v>9467.0747133757959</v>
      </c>
      <c r="S37" s="50"/>
    </row>
    <row r="38" spans="2:19" ht="15.75" thickTop="1">
      <c r="C38" s="52"/>
      <c r="D38" s="8"/>
      <c r="E38" s="8"/>
      <c r="F38" s="8"/>
      <c r="G38" s="8"/>
      <c r="H38" s="53"/>
      <c r="I38" s="8"/>
      <c r="J38" s="8"/>
      <c r="K38" s="8"/>
      <c r="L38" s="8"/>
      <c r="M38" s="53"/>
      <c r="N38" s="8"/>
      <c r="O38" s="8"/>
      <c r="P38" s="52"/>
      <c r="Q38" s="8"/>
      <c r="R38" s="50"/>
      <c r="S38" s="50"/>
    </row>
    <row r="39" spans="2:19" ht="15.75" thickBot="1">
      <c r="C39" s="52"/>
      <c r="D39" s="8"/>
      <c r="E39" s="8"/>
      <c r="F39" s="8"/>
      <c r="G39" s="8"/>
      <c r="H39" s="53"/>
      <c r="I39" s="8"/>
      <c r="J39" s="8"/>
      <c r="K39" s="8"/>
      <c r="L39" s="8"/>
      <c r="M39" s="53"/>
      <c r="N39" s="8"/>
      <c r="O39" s="8"/>
      <c r="P39" s="52"/>
      <c r="Q39" s="8"/>
      <c r="R39" s="50"/>
      <c r="S39" s="50"/>
    </row>
    <row r="40" spans="2:19" ht="15.75" thickBot="1">
      <c r="C40" s="246" t="s">
        <v>33</v>
      </c>
      <c r="D40" s="247"/>
      <c r="E40" s="247"/>
      <c r="F40" s="247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8"/>
      <c r="S40" s="50"/>
    </row>
    <row r="41" spans="2:19" ht="15.75" customHeight="1" thickBot="1">
      <c r="C41" s="249" t="s">
        <v>34</v>
      </c>
      <c r="D41" s="250"/>
      <c r="E41" s="250"/>
      <c r="F41" s="250"/>
      <c r="G41" s="250"/>
      <c r="H41" s="250"/>
      <c r="I41" s="250"/>
      <c r="J41" s="250"/>
      <c r="K41" s="250"/>
      <c r="L41" s="251"/>
      <c r="M41" s="257" t="s">
        <v>35</v>
      </c>
      <c r="N41" s="258"/>
      <c r="O41" s="259"/>
      <c r="P41" s="252" t="s">
        <v>29</v>
      </c>
      <c r="Q41" s="253"/>
      <c r="S41" s="50"/>
    </row>
    <row r="42" spans="2:19" ht="15.75" thickBot="1">
      <c r="C42" s="30" t="s">
        <v>3</v>
      </c>
      <c r="D42" s="33" t="s">
        <v>6</v>
      </c>
      <c r="E42" s="194"/>
      <c r="F42" s="194"/>
      <c r="G42" s="31" t="s">
        <v>3</v>
      </c>
      <c r="H42" s="33" t="s">
        <v>2</v>
      </c>
      <c r="I42" s="40" t="s">
        <v>3</v>
      </c>
      <c r="J42" s="194"/>
      <c r="K42" s="194"/>
      <c r="L42" s="32" t="s">
        <v>26</v>
      </c>
      <c r="M42" s="30" t="s">
        <v>28</v>
      </c>
      <c r="N42" s="35" t="s">
        <v>44</v>
      </c>
      <c r="O42" s="55" t="s">
        <v>26</v>
      </c>
      <c r="P42" s="66" t="s">
        <v>28</v>
      </c>
      <c r="Q42" s="59" t="s">
        <v>29</v>
      </c>
      <c r="R42" s="16" t="s">
        <v>38</v>
      </c>
      <c r="S42" s="50"/>
    </row>
    <row r="43" spans="2:19">
      <c r="B43" s="13" t="s">
        <v>7</v>
      </c>
      <c r="C43" s="18">
        <v>2</v>
      </c>
      <c r="D43" s="34">
        <f>'FUSO WC 2025'!J21+'FUSO WC 2025'!J22</f>
        <v>1446.36</v>
      </c>
      <c r="E43" s="195"/>
      <c r="F43" s="200"/>
      <c r="G43" s="155">
        <v>0</v>
      </c>
      <c r="H43" s="34">
        <v>0</v>
      </c>
      <c r="I43" s="46">
        <v>2</v>
      </c>
      <c r="J43" s="195"/>
      <c r="K43" s="195"/>
      <c r="L43" s="19">
        <f>'FUSO 2025'!L3+'FUSO 2025'!L5</f>
        <v>549.5</v>
      </c>
      <c r="M43" s="21">
        <v>0</v>
      </c>
      <c r="N43" s="36">
        <v>0</v>
      </c>
      <c r="O43" s="156">
        <v>0</v>
      </c>
      <c r="P43" s="67">
        <f t="shared" ref="P43:P54" si="9">SUM(C43+G43+I43+M43)</f>
        <v>4</v>
      </c>
      <c r="Q43" s="61">
        <f>SUM(D43+H43+L43+N43+O43)</f>
        <v>1995.86</v>
      </c>
      <c r="R43" s="50">
        <f t="shared" ref="R43:R55" si="10">Q43/P43</f>
        <v>498.96499999999997</v>
      </c>
      <c r="S43" s="50"/>
    </row>
    <row r="44" spans="2:19">
      <c r="B44" s="14" t="s">
        <v>8</v>
      </c>
      <c r="C44" s="18">
        <v>2</v>
      </c>
      <c r="D44" s="34">
        <f>'FUSO WC 2025'!J23+'FUSO WC 2025'!J24</f>
        <v>696.42</v>
      </c>
      <c r="E44" s="195"/>
      <c r="F44" s="195"/>
      <c r="G44" s="75">
        <v>1</v>
      </c>
      <c r="H44" s="34">
        <f>'FUSO WC 2025'!J3</f>
        <v>1544.76</v>
      </c>
      <c r="I44" s="46">
        <v>0</v>
      </c>
      <c r="J44" s="195"/>
      <c r="K44" s="195"/>
      <c r="L44" s="19">
        <v>0</v>
      </c>
      <c r="M44" s="21">
        <v>0</v>
      </c>
      <c r="N44" s="36">
        <v>0</v>
      </c>
      <c r="O44" s="156">
        <v>0</v>
      </c>
      <c r="P44" s="67">
        <f t="shared" si="9"/>
        <v>3</v>
      </c>
      <c r="Q44" s="61">
        <f t="shared" ref="Q44:Q54" si="11">SUM(D44+H44+L44+N44+O44)</f>
        <v>2241.1799999999998</v>
      </c>
      <c r="R44" s="50">
        <f t="shared" si="10"/>
        <v>747.06</v>
      </c>
      <c r="S44" s="50"/>
    </row>
    <row r="45" spans="2:19">
      <c r="B45" s="14" t="s">
        <v>9</v>
      </c>
      <c r="C45" s="18">
        <v>1</v>
      </c>
      <c r="D45" s="34">
        <f>'FUSO WC 2025'!J25</f>
        <v>453.01</v>
      </c>
      <c r="E45" s="195"/>
      <c r="F45" s="195"/>
      <c r="G45" s="75">
        <v>1</v>
      </c>
      <c r="H45" s="34">
        <f>'FUSO WC 2025'!J4</f>
        <v>369.36</v>
      </c>
      <c r="I45" s="46">
        <v>3</v>
      </c>
      <c r="J45" s="195"/>
      <c r="K45" s="195"/>
      <c r="L45" s="19">
        <f>'FUSO 2025'!L9+'FUSO 2025'!L10+'FUSO 2025'!L11</f>
        <v>1402.1</v>
      </c>
      <c r="M45" s="21">
        <v>0</v>
      </c>
      <c r="N45" s="36">
        <v>0</v>
      </c>
      <c r="O45" s="156">
        <v>0</v>
      </c>
      <c r="P45" s="67">
        <f t="shared" si="9"/>
        <v>5</v>
      </c>
      <c r="Q45" s="61">
        <f t="shared" si="11"/>
        <v>2224.4699999999998</v>
      </c>
      <c r="R45" s="50">
        <f t="shared" si="10"/>
        <v>444.89399999999995</v>
      </c>
      <c r="S45" s="50"/>
    </row>
    <row r="46" spans="2:19">
      <c r="B46" s="14" t="s">
        <v>10</v>
      </c>
      <c r="C46" s="18">
        <v>1</v>
      </c>
      <c r="D46" s="34">
        <v>453.01</v>
      </c>
      <c r="E46" s="195"/>
      <c r="F46" s="195"/>
      <c r="G46" s="75">
        <v>1</v>
      </c>
      <c r="H46" s="34">
        <v>2402</v>
      </c>
      <c r="I46" s="46">
        <v>0</v>
      </c>
      <c r="J46" s="195"/>
      <c r="K46" s="195"/>
      <c r="L46" s="19">
        <v>0</v>
      </c>
      <c r="M46" s="21">
        <v>0</v>
      </c>
      <c r="N46" s="36">
        <v>0</v>
      </c>
      <c r="O46" s="156">
        <v>0</v>
      </c>
      <c r="P46" s="67">
        <f t="shared" si="9"/>
        <v>2</v>
      </c>
      <c r="Q46" s="61">
        <f t="shared" si="11"/>
        <v>2855.01</v>
      </c>
      <c r="R46" s="50">
        <f t="shared" si="10"/>
        <v>1427.5050000000001</v>
      </c>
      <c r="S46" s="50"/>
    </row>
    <row r="47" spans="2:19">
      <c r="B47" s="14" t="s">
        <v>11</v>
      </c>
      <c r="C47" s="18">
        <v>0</v>
      </c>
      <c r="D47" s="34">
        <v>0</v>
      </c>
      <c r="E47" s="195"/>
      <c r="F47" s="195"/>
      <c r="G47" s="75">
        <v>1</v>
      </c>
      <c r="H47" s="34">
        <v>453.01</v>
      </c>
      <c r="I47" s="46">
        <v>1</v>
      </c>
      <c r="J47" s="195"/>
      <c r="K47" s="195"/>
      <c r="L47" s="19">
        <v>291.8</v>
      </c>
      <c r="M47" s="21">
        <v>0</v>
      </c>
      <c r="N47" s="36">
        <v>0</v>
      </c>
      <c r="O47" s="156">
        <v>0</v>
      </c>
      <c r="P47" s="67">
        <f t="shared" si="9"/>
        <v>2</v>
      </c>
      <c r="Q47" s="61">
        <f t="shared" si="11"/>
        <v>744.81</v>
      </c>
      <c r="R47" s="50">
        <f t="shared" si="10"/>
        <v>372.40499999999997</v>
      </c>
      <c r="S47" s="50"/>
    </row>
    <row r="48" spans="2:19">
      <c r="B48" s="14" t="s">
        <v>12</v>
      </c>
      <c r="C48" s="18">
        <v>1</v>
      </c>
      <c r="D48" s="34">
        <v>748.18</v>
      </c>
      <c r="E48" s="195"/>
      <c r="F48" s="195"/>
      <c r="G48" s="75">
        <v>0</v>
      </c>
      <c r="H48" s="34">
        <v>0</v>
      </c>
      <c r="I48" s="46">
        <v>2</v>
      </c>
      <c r="J48" s="195"/>
      <c r="K48" s="195"/>
      <c r="L48" s="20">
        <v>1369.63</v>
      </c>
      <c r="M48" s="23">
        <v>0</v>
      </c>
      <c r="N48" s="37">
        <v>0</v>
      </c>
      <c r="O48" s="156">
        <v>0</v>
      </c>
      <c r="P48" s="67">
        <f t="shared" si="9"/>
        <v>3</v>
      </c>
      <c r="Q48" s="61">
        <f t="shared" si="11"/>
        <v>2117.81</v>
      </c>
      <c r="R48" s="50">
        <f t="shared" si="10"/>
        <v>705.93666666666661</v>
      </c>
      <c r="S48" s="50"/>
    </row>
    <row r="49" spans="2:19">
      <c r="B49" s="14" t="s">
        <v>13</v>
      </c>
      <c r="C49" s="18">
        <v>0</v>
      </c>
      <c r="D49" s="34">
        <v>0</v>
      </c>
      <c r="E49" s="195"/>
      <c r="F49" s="195"/>
      <c r="G49" s="75">
        <v>0</v>
      </c>
      <c r="H49" s="34">
        <v>0</v>
      </c>
      <c r="I49" s="46">
        <v>3</v>
      </c>
      <c r="J49" s="195"/>
      <c r="K49" s="195"/>
      <c r="L49" s="20">
        <v>2467.96</v>
      </c>
      <c r="M49" s="23">
        <v>0</v>
      </c>
      <c r="N49" s="37">
        <v>0</v>
      </c>
      <c r="O49" s="156">
        <v>0</v>
      </c>
      <c r="P49" s="67">
        <f t="shared" si="9"/>
        <v>3</v>
      </c>
      <c r="Q49" s="61">
        <f t="shared" si="11"/>
        <v>2467.96</v>
      </c>
      <c r="R49" s="50">
        <f t="shared" si="10"/>
        <v>822.65333333333331</v>
      </c>
      <c r="S49" s="50"/>
    </row>
    <row r="50" spans="2:19">
      <c r="B50" s="14" t="s">
        <v>14</v>
      </c>
      <c r="C50" s="18">
        <v>0</v>
      </c>
      <c r="D50" s="34">
        <v>0</v>
      </c>
      <c r="E50" s="195"/>
      <c r="F50" s="195"/>
      <c r="G50" s="75">
        <v>0</v>
      </c>
      <c r="H50" s="34">
        <v>0</v>
      </c>
      <c r="I50" s="46">
        <v>1</v>
      </c>
      <c r="J50" s="195"/>
      <c r="K50" s="195"/>
      <c r="L50" s="20">
        <v>774.27</v>
      </c>
      <c r="M50" s="23">
        <v>0</v>
      </c>
      <c r="N50" s="37">
        <v>0</v>
      </c>
      <c r="O50" s="156">
        <v>0</v>
      </c>
      <c r="P50" s="67">
        <f t="shared" si="9"/>
        <v>1</v>
      </c>
      <c r="Q50" s="61">
        <f t="shared" si="11"/>
        <v>774.27</v>
      </c>
      <c r="R50" s="50">
        <f t="shared" si="10"/>
        <v>774.27</v>
      </c>
      <c r="S50" s="50"/>
    </row>
    <row r="51" spans="2:19">
      <c r="B51" s="14" t="s">
        <v>15</v>
      </c>
      <c r="C51" s="18">
        <v>0</v>
      </c>
      <c r="D51" s="34">
        <v>0</v>
      </c>
      <c r="E51" s="195"/>
      <c r="F51" s="195"/>
      <c r="G51" s="75">
        <v>0</v>
      </c>
      <c r="H51" s="34">
        <v>0</v>
      </c>
      <c r="I51" s="46">
        <v>1</v>
      </c>
      <c r="J51" s="195"/>
      <c r="K51" s="195"/>
      <c r="L51" s="20">
        <v>296.82</v>
      </c>
      <c r="M51" s="23">
        <v>0</v>
      </c>
      <c r="N51" s="37">
        <v>0</v>
      </c>
      <c r="O51" s="156">
        <v>0</v>
      </c>
      <c r="P51" s="67">
        <f t="shared" si="9"/>
        <v>1</v>
      </c>
      <c r="Q51" s="61">
        <f t="shared" si="11"/>
        <v>296.82</v>
      </c>
      <c r="R51" s="50">
        <f t="shared" si="10"/>
        <v>296.82</v>
      </c>
      <c r="S51" s="50"/>
    </row>
    <row r="52" spans="2:19">
      <c r="B52" s="14" t="s">
        <v>16</v>
      </c>
      <c r="C52" s="18">
        <v>0</v>
      </c>
      <c r="D52" s="34">
        <v>0</v>
      </c>
      <c r="E52" s="195"/>
      <c r="F52" s="195"/>
      <c r="G52" s="75">
        <v>0</v>
      </c>
      <c r="H52" s="34">
        <v>0</v>
      </c>
      <c r="I52" s="46">
        <v>3</v>
      </c>
      <c r="J52" s="195"/>
      <c r="K52" s="195"/>
      <c r="L52" s="20">
        <v>566.77</v>
      </c>
      <c r="M52" s="23">
        <v>0</v>
      </c>
      <c r="N52" s="37">
        <v>0</v>
      </c>
      <c r="O52" s="156">
        <v>0</v>
      </c>
      <c r="P52" s="67">
        <f t="shared" si="9"/>
        <v>3</v>
      </c>
      <c r="Q52" s="61">
        <f t="shared" si="11"/>
        <v>566.77</v>
      </c>
      <c r="R52" s="50">
        <f t="shared" si="10"/>
        <v>188.92333333333332</v>
      </c>
      <c r="S52" s="50"/>
    </row>
    <row r="53" spans="2:19">
      <c r="B53" s="14" t="s">
        <v>17</v>
      </c>
      <c r="C53" s="18">
        <v>1</v>
      </c>
      <c r="D53" s="34">
        <v>454.61</v>
      </c>
      <c r="E53" s="195"/>
      <c r="F53" s="195"/>
      <c r="G53" s="75">
        <v>0</v>
      </c>
      <c r="H53" s="34">
        <v>0</v>
      </c>
      <c r="I53" s="46">
        <v>2</v>
      </c>
      <c r="J53" s="195"/>
      <c r="K53" s="195"/>
      <c r="L53" s="20">
        <v>627.58000000000004</v>
      </c>
      <c r="M53" s="23">
        <v>0</v>
      </c>
      <c r="N53" s="37">
        <v>0</v>
      </c>
      <c r="O53" s="156">
        <v>0</v>
      </c>
      <c r="P53" s="67">
        <f t="shared" si="9"/>
        <v>3</v>
      </c>
      <c r="Q53" s="61">
        <f t="shared" si="11"/>
        <v>1082.19</v>
      </c>
      <c r="R53" s="50">
        <f t="shared" si="10"/>
        <v>360.73</v>
      </c>
      <c r="S53" s="50"/>
    </row>
    <row r="54" spans="2:19" ht="15.75" thickBot="1">
      <c r="B54" s="15" t="s">
        <v>18</v>
      </c>
      <c r="C54" s="25">
        <v>0</v>
      </c>
      <c r="D54" s="42">
        <v>0</v>
      </c>
      <c r="E54" s="196"/>
      <c r="F54" s="196"/>
      <c r="G54" s="42">
        <v>0</v>
      </c>
      <c r="H54" s="42">
        <v>0</v>
      </c>
      <c r="I54" s="47">
        <v>0</v>
      </c>
      <c r="J54" s="196"/>
      <c r="K54" s="196"/>
      <c r="L54" s="26">
        <v>0</v>
      </c>
      <c r="M54" s="27">
        <v>0</v>
      </c>
      <c r="N54" s="45">
        <v>0</v>
      </c>
      <c r="O54" s="56">
        <v>0</v>
      </c>
      <c r="P54" s="68">
        <f t="shared" si="9"/>
        <v>0</v>
      </c>
      <c r="Q54" s="63">
        <f t="shared" si="11"/>
        <v>0</v>
      </c>
      <c r="R54" s="50" t="e">
        <f t="shared" si="10"/>
        <v>#DIV/0!</v>
      </c>
      <c r="S54" s="50"/>
    </row>
    <row r="55" spans="2:19" ht="15.75" thickBot="1">
      <c r="C55" s="41">
        <f t="shared" ref="C55:N55" si="12">SUM(C43:C54)</f>
        <v>8</v>
      </c>
      <c r="D55" s="4">
        <f t="shared" si="12"/>
        <v>4251.59</v>
      </c>
      <c r="E55" s="4"/>
      <c r="F55" s="4"/>
      <c r="G55" s="41">
        <f t="shared" si="12"/>
        <v>4</v>
      </c>
      <c r="H55" s="4">
        <f t="shared" si="12"/>
        <v>4769.13</v>
      </c>
      <c r="I55" s="41">
        <f t="shared" si="12"/>
        <v>18</v>
      </c>
      <c r="J55" s="197"/>
      <c r="K55" s="197"/>
      <c r="L55" s="4">
        <f t="shared" si="12"/>
        <v>8346.43</v>
      </c>
      <c r="M55" s="11">
        <f>SUM(M43:M54)</f>
        <v>0</v>
      </c>
      <c r="N55" s="4">
        <f t="shared" si="12"/>
        <v>0</v>
      </c>
      <c r="O55" s="57"/>
      <c r="P55" s="69">
        <f>SUM(P43:P54)</f>
        <v>30</v>
      </c>
      <c r="Q55" s="70">
        <f>SUM(Q43:Q54)</f>
        <v>17367.149999999998</v>
      </c>
      <c r="R55" s="50">
        <f t="shared" si="10"/>
        <v>578.90499999999997</v>
      </c>
      <c r="S55" s="9"/>
    </row>
    <row r="56" spans="2:19" ht="15.75" thickTop="1">
      <c r="D56" s="7"/>
      <c r="E56" s="7"/>
      <c r="F56" s="7"/>
      <c r="G56" s="8"/>
      <c r="H56" s="8"/>
      <c r="I56" s="8"/>
      <c r="J56" s="8"/>
      <c r="K56" s="8"/>
      <c r="L56" s="9"/>
      <c r="M56" s="9"/>
      <c r="N56" s="9"/>
      <c r="O56" s="9"/>
      <c r="P56" s="9"/>
      <c r="Q56" s="9"/>
      <c r="R56" s="9"/>
      <c r="S56" s="9"/>
    </row>
    <row r="57" spans="2:19">
      <c r="I57" s="54" t="s">
        <v>19</v>
      </c>
      <c r="J57" s="54"/>
      <c r="K57" s="54"/>
      <c r="L57" s="10">
        <f>(Q19/(COUNTA(C7:C18)))</f>
        <v>139857.42750000002</v>
      </c>
      <c r="M57" s="8" t="s">
        <v>0</v>
      </c>
      <c r="N57" s="9"/>
      <c r="O57" s="9"/>
    </row>
    <row r="58" spans="2:19">
      <c r="I58" s="54" t="s">
        <v>19</v>
      </c>
      <c r="J58" s="54"/>
      <c r="K58" s="54"/>
      <c r="L58" s="10">
        <f>(Q37/(COUNTA(C25:C36)))</f>
        <v>123860.89416666667</v>
      </c>
      <c r="M58" s="8" t="s">
        <v>31</v>
      </c>
      <c r="N58" s="9"/>
      <c r="O58" s="9"/>
    </row>
    <row r="59" spans="2:19" ht="15.75" thickBot="1">
      <c r="I59" s="54" t="s">
        <v>19</v>
      </c>
      <c r="J59" s="54"/>
      <c r="K59" s="54"/>
      <c r="L59" s="9">
        <f>Q55/(COUNTA(C43:C54))</f>
        <v>1447.2624999999998</v>
      </c>
      <c r="M59" s="8" t="s">
        <v>33</v>
      </c>
      <c r="N59" s="9"/>
      <c r="O59" s="9"/>
    </row>
    <row r="60" spans="2:19" ht="15.75" thickBot="1">
      <c r="D60" s="7"/>
      <c r="E60" s="7"/>
      <c r="F60" s="7"/>
      <c r="G60" s="8"/>
      <c r="H60" s="8"/>
      <c r="I60" s="8"/>
      <c r="J60" s="8"/>
      <c r="K60" s="8"/>
      <c r="L60" s="9"/>
      <c r="M60" s="9"/>
      <c r="N60" s="9"/>
      <c r="O60" s="9"/>
      <c r="P60" s="254" t="s">
        <v>43</v>
      </c>
      <c r="Q60" s="255"/>
      <c r="R60" s="256"/>
      <c r="S60" s="9"/>
    </row>
    <row r="61" spans="2:19">
      <c r="D61" s="77" t="s">
        <v>20</v>
      </c>
      <c r="E61" s="77"/>
      <c r="F61" s="77"/>
      <c r="G61" s="77" t="s">
        <v>36</v>
      </c>
      <c r="H61" s="5"/>
      <c r="I61" s="77" t="s">
        <v>21</v>
      </c>
      <c r="J61" s="77"/>
      <c r="K61" s="77"/>
      <c r="L61" s="77" t="s">
        <v>32</v>
      </c>
      <c r="M61" s="77"/>
      <c r="N61" s="77" t="s">
        <v>22</v>
      </c>
      <c r="P61" s="86" t="s">
        <v>20</v>
      </c>
      <c r="Q61" s="77" t="s">
        <v>36</v>
      </c>
      <c r="R61" s="87" t="s">
        <v>32</v>
      </c>
      <c r="S61" s="77"/>
    </row>
    <row r="62" spans="2:19">
      <c r="B62" s="78" t="s">
        <v>37</v>
      </c>
      <c r="D62" s="79">
        <f>SUM(D19+I19)</f>
        <v>1401536.23</v>
      </c>
      <c r="E62" s="79"/>
      <c r="F62" s="79"/>
      <c r="G62" s="79">
        <f>SUM(D37+I37)</f>
        <v>1146468.71</v>
      </c>
      <c r="H62" s="79"/>
      <c r="I62" s="79">
        <f>D62+G62</f>
        <v>2548004.94</v>
      </c>
      <c r="J62" s="79"/>
      <c r="K62" s="79"/>
      <c r="L62" s="79">
        <f>D55+H55+N55</f>
        <v>9020.7200000000012</v>
      </c>
      <c r="M62" s="79"/>
      <c r="N62" s="79">
        <f>SUM(I62:M62)</f>
        <v>2557025.66</v>
      </c>
      <c r="P62" s="88">
        <f>SUM(D62/N62)</f>
        <v>0.54811191452806929</v>
      </c>
      <c r="Q62" s="80">
        <f>SUM(G62/N62)</f>
        <v>0.44836026792159761</v>
      </c>
      <c r="R62" s="89">
        <f>L62/N62</f>
        <v>3.5278175503330698E-3</v>
      </c>
      <c r="S62" s="80"/>
    </row>
    <row r="63" spans="2:19">
      <c r="B63" s="81" t="s">
        <v>39</v>
      </c>
      <c r="D63" s="79">
        <f>SUM(I19:L19)</f>
        <v>19733.400000000001</v>
      </c>
      <c r="E63" s="79"/>
      <c r="F63" s="79"/>
      <c r="G63" s="79">
        <f>SUM(I37:L37)</f>
        <v>158645.59999999998</v>
      </c>
      <c r="H63" s="79"/>
      <c r="I63" s="79">
        <f>D63+G63</f>
        <v>178378.99999999997</v>
      </c>
      <c r="J63" s="79"/>
      <c r="K63" s="79"/>
      <c r="L63" s="79"/>
      <c r="M63" s="79"/>
      <c r="N63" s="79">
        <f>SUM(I63:M63)</f>
        <v>178378.99999999997</v>
      </c>
      <c r="P63" s="88">
        <f t="shared" ref="P63:P64" si="13">SUM(D63/N63)</f>
        <v>0.11062625084791373</v>
      </c>
      <c r="Q63" s="80">
        <f t="shared" ref="Q63:Q64" si="14">SUM(G63/N63)</f>
        <v>0.88937374915208633</v>
      </c>
      <c r="R63" s="89">
        <f t="shared" ref="R63" si="15">L63/N63</f>
        <v>0</v>
      </c>
      <c r="S63" s="80"/>
    </row>
    <row r="64" spans="2:19" ht="15.75" thickBot="1">
      <c r="B64" s="81" t="s">
        <v>40</v>
      </c>
      <c r="D64" s="79">
        <f>G19+L19+N19</f>
        <v>8035</v>
      </c>
      <c r="E64" s="79"/>
      <c r="F64" s="79"/>
      <c r="G64" s="79">
        <f>G37+L37+N37</f>
        <v>12318.9</v>
      </c>
      <c r="H64" s="79"/>
      <c r="I64" s="79">
        <f>D64+G64</f>
        <v>20353.900000000001</v>
      </c>
      <c r="J64" s="79"/>
      <c r="K64" s="79"/>
      <c r="L64" s="79">
        <f>L55</f>
        <v>8346.43</v>
      </c>
      <c r="M64" s="79"/>
      <c r="N64" s="79">
        <f>SUM(I64:M64)</f>
        <v>28700.33</v>
      </c>
      <c r="P64" s="90">
        <f t="shared" si="13"/>
        <v>0.27996193771987987</v>
      </c>
      <c r="Q64" s="91">
        <f t="shared" si="14"/>
        <v>0.42922502981673027</v>
      </c>
      <c r="R64" s="92">
        <f>L64/N64</f>
        <v>0.2908130324633898</v>
      </c>
      <c r="S64" s="80"/>
    </row>
    <row r="65" spans="2:19" ht="15.75" thickBot="1">
      <c r="B65" t="s">
        <v>42</v>
      </c>
      <c r="D65" s="79">
        <f>O19</f>
        <v>0</v>
      </c>
      <c r="E65" s="79"/>
      <c r="F65" s="79"/>
      <c r="G65" s="79">
        <f>O37</f>
        <v>21074.5</v>
      </c>
      <c r="H65" s="79"/>
      <c r="I65" s="79">
        <f>D65+G65</f>
        <v>21074.5</v>
      </c>
      <c r="J65" s="79"/>
      <c r="K65" s="79"/>
      <c r="L65" s="79"/>
      <c r="M65" s="79"/>
      <c r="N65" s="79">
        <f>SUM(I65:M65)</f>
        <v>21074.5</v>
      </c>
      <c r="P65" s="80"/>
      <c r="Q65" s="80"/>
      <c r="R65" s="80"/>
      <c r="S65" s="80"/>
    </row>
    <row r="66" spans="2:19" ht="15.75" thickBot="1">
      <c r="B66" s="82" t="s">
        <v>23</v>
      </c>
      <c r="C66" s="57"/>
      <c r="D66" s="83">
        <f>SUM(D62:D65)-I19</f>
        <v>1416012.23</v>
      </c>
      <c r="E66" s="83"/>
      <c r="F66" s="83"/>
      <c r="G66" s="83">
        <f>SUM(G62:G65)-I37</f>
        <v>1201105.3699999999</v>
      </c>
      <c r="H66" s="83"/>
      <c r="I66" s="83">
        <f>SUM(I62:I65)-I63</f>
        <v>2589433.34</v>
      </c>
      <c r="J66" s="83"/>
      <c r="K66" s="83"/>
      <c r="L66" s="83">
        <f>SUM(L62:L65)</f>
        <v>17367.150000000001</v>
      </c>
      <c r="M66" s="83"/>
      <c r="N66" s="83">
        <f>SUM(N62:N65)-N63</f>
        <v>2606800.4900000002</v>
      </c>
      <c r="O66" s="57"/>
      <c r="P66" s="84" t="s">
        <v>41</v>
      </c>
      <c r="Q66" s="84" t="s">
        <v>41</v>
      </c>
      <c r="R66" s="85"/>
      <c r="S66" s="85"/>
    </row>
    <row r="67" spans="2:19" ht="15.75" thickTop="1">
      <c r="L67" s="51"/>
    </row>
    <row r="68" spans="2:19">
      <c r="I68" s="51"/>
      <c r="J68" s="51"/>
      <c r="K68" s="51"/>
    </row>
    <row r="69" spans="2:19">
      <c r="L69" s="51"/>
    </row>
    <row r="71" spans="2:19">
      <c r="L71" s="51"/>
    </row>
  </sheetData>
  <mergeCells count="15">
    <mergeCell ref="P60:R60"/>
    <mergeCell ref="C23:G23"/>
    <mergeCell ref="H23:L23"/>
    <mergeCell ref="M23:O23"/>
    <mergeCell ref="P23:Q23"/>
    <mergeCell ref="C40:Q40"/>
    <mergeCell ref="C41:L41"/>
    <mergeCell ref="M41:O41"/>
    <mergeCell ref="P41:Q41"/>
    <mergeCell ref="C22:Q22"/>
    <mergeCell ref="C4:Q4"/>
    <mergeCell ref="C5:G5"/>
    <mergeCell ref="H5:L5"/>
    <mergeCell ref="M5:O5"/>
    <mergeCell ref="P5:Q5"/>
  </mergeCells>
  <pageMargins left="0.2" right="1.1000000000000001" top="0.2" bottom="0.2" header="0.2" footer="0.2"/>
  <pageSetup paperSize="9" scale="57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C8588-13FC-4BBE-8AEA-D6F7D1D39E1F}">
  <dimension ref="B1:U71"/>
  <sheetViews>
    <sheetView tabSelected="1" workbookViewId="0">
      <selection activeCell="O28" sqref="O28"/>
    </sheetView>
  </sheetViews>
  <sheetFormatPr defaultColWidth="8.85546875" defaultRowHeight="15"/>
  <cols>
    <col min="1" max="1" width="2" customWidth="1"/>
    <col min="2" max="2" width="11.7109375" customWidth="1"/>
    <col min="3" max="3" width="8.140625" customWidth="1"/>
    <col min="4" max="7" width="14.85546875" customWidth="1"/>
    <col min="8" max="8" width="11.85546875" customWidth="1"/>
    <col min="9" max="12" width="14.85546875" customWidth="1"/>
    <col min="13" max="13" width="8.140625" customWidth="1"/>
    <col min="14" max="15" width="14.85546875" customWidth="1"/>
    <col min="16" max="16" width="8.7109375" customWidth="1"/>
    <col min="17" max="17" width="16.7109375" customWidth="1"/>
    <col min="18" max="18" width="12.7109375" bestFit="1" customWidth="1"/>
    <col min="19" max="19" width="4.85546875" customWidth="1"/>
  </cols>
  <sheetData>
    <row r="1" spans="2:21" ht="23.25">
      <c r="B1" s="1" t="s">
        <v>24</v>
      </c>
      <c r="O1" s="1"/>
    </row>
    <row r="2" spans="2:21" ht="18.75">
      <c r="B2" s="2" t="s">
        <v>1810</v>
      </c>
    </row>
    <row r="3" spans="2:21" ht="15.75" thickBot="1"/>
    <row r="4" spans="2:21" ht="15.75" thickBot="1">
      <c r="C4" s="246" t="s">
        <v>0</v>
      </c>
      <c r="D4" s="247"/>
      <c r="E4" s="247"/>
      <c r="F4" s="247"/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248"/>
      <c r="R4" s="48"/>
      <c r="S4" s="48"/>
    </row>
    <row r="5" spans="2:21" ht="16.5" customHeight="1" thickBot="1">
      <c r="C5" s="249" t="s">
        <v>25</v>
      </c>
      <c r="D5" s="250"/>
      <c r="E5" s="250"/>
      <c r="F5" s="250"/>
      <c r="G5" s="251"/>
      <c r="H5" s="249" t="s">
        <v>27</v>
      </c>
      <c r="I5" s="250"/>
      <c r="J5" s="250"/>
      <c r="K5" s="250"/>
      <c r="L5" s="251"/>
      <c r="M5" s="246" t="s">
        <v>1</v>
      </c>
      <c r="N5" s="247"/>
      <c r="O5" s="248"/>
      <c r="P5" s="252" t="s">
        <v>29</v>
      </c>
      <c r="Q5" s="253"/>
      <c r="R5" s="49"/>
      <c r="S5" s="49"/>
    </row>
    <row r="6" spans="2:21" ht="15.75" thickBot="1">
      <c r="C6" s="30" t="s">
        <v>3</v>
      </c>
      <c r="D6" s="35" t="s">
        <v>48</v>
      </c>
      <c r="E6" s="33" t="s">
        <v>47</v>
      </c>
      <c r="F6" s="33" t="s">
        <v>726</v>
      </c>
      <c r="G6" s="32" t="s">
        <v>26</v>
      </c>
      <c r="H6" s="30" t="s">
        <v>28</v>
      </c>
      <c r="I6" s="35" t="s">
        <v>48</v>
      </c>
      <c r="J6" s="33" t="s">
        <v>47</v>
      </c>
      <c r="K6" s="33" t="s">
        <v>726</v>
      </c>
      <c r="L6" s="32" t="s">
        <v>26</v>
      </c>
      <c r="M6" s="30" t="s">
        <v>28</v>
      </c>
      <c r="N6" s="33" t="s">
        <v>4</v>
      </c>
      <c r="O6" s="31" t="s">
        <v>5</v>
      </c>
      <c r="P6" s="58" t="s">
        <v>28</v>
      </c>
      <c r="Q6" s="59" t="s">
        <v>29</v>
      </c>
      <c r="R6" s="16" t="s">
        <v>38</v>
      </c>
      <c r="S6" s="16"/>
      <c r="U6" s="222"/>
    </row>
    <row r="7" spans="2:21">
      <c r="B7" s="13" t="s">
        <v>7</v>
      </c>
      <c r="C7" s="18">
        <v>6</v>
      </c>
      <c r="D7" s="36">
        <v>182814.26</v>
      </c>
      <c r="E7" s="36">
        <v>26744.400000000001</v>
      </c>
      <c r="F7" s="34">
        <v>7700</v>
      </c>
      <c r="G7" s="19">
        <v>0</v>
      </c>
      <c r="H7" s="21">
        <v>1</v>
      </c>
      <c r="I7" s="36">
        <v>994.08</v>
      </c>
      <c r="J7" s="36">
        <v>399</v>
      </c>
      <c r="K7" s="34">
        <v>0</v>
      </c>
      <c r="L7" s="22">
        <v>0</v>
      </c>
      <c r="M7" s="21">
        <v>0</v>
      </c>
      <c r="N7" s="39">
        <v>0</v>
      </c>
      <c r="O7" s="3">
        <v>0</v>
      </c>
      <c r="P7" s="71">
        <f>SUM(C7+H7+M7)</f>
        <v>7</v>
      </c>
      <c r="Q7" s="61">
        <f>D7+E7+F7+G7+I7+J7+L7+K7+N7+O7</f>
        <v>218651.74</v>
      </c>
      <c r="R7" s="50">
        <f>Q7/P7</f>
        <v>31235.962857142855</v>
      </c>
      <c r="S7" s="50"/>
    </row>
    <row r="8" spans="2:21">
      <c r="B8" s="14" t="s">
        <v>8</v>
      </c>
      <c r="C8" s="18">
        <v>6</v>
      </c>
      <c r="D8" s="36">
        <v>190831.86</v>
      </c>
      <c r="E8" s="36">
        <v>31717.8</v>
      </c>
      <c r="F8" s="34">
        <v>2375</v>
      </c>
      <c r="G8" s="19">
        <v>0</v>
      </c>
      <c r="H8" s="21">
        <v>1</v>
      </c>
      <c r="I8" s="36">
        <v>994.08</v>
      </c>
      <c r="J8" s="36">
        <v>399</v>
      </c>
      <c r="K8" s="34">
        <v>0</v>
      </c>
      <c r="L8" s="22">
        <v>0</v>
      </c>
      <c r="M8" s="21">
        <v>1</v>
      </c>
      <c r="N8" s="34">
        <v>800</v>
      </c>
      <c r="O8" s="7">
        <v>0</v>
      </c>
      <c r="P8" s="71">
        <f t="shared" ref="P8:P18" si="0">SUM(C8+H8+M8)</f>
        <v>8</v>
      </c>
      <c r="Q8" s="61">
        <f t="shared" ref="Q8:Q18" si="1">D8+E8+F8+G8+I8+J8+L8+K8+N8+O8</f>
        <v>227117.73999999996</v>
      </c>
      <c r="R8" s="50">
        <f t="shared" ref="R8:R18" si="2">Q8/P8</f>
        <v>28389.717499999995</v>
      </c>
      <c r="S8" s="50"/>
    </row>
    <row r="9" spans="2:21">
      <c r="B9" s="14" t="s">
        <v>9</v>
      </c>
      <c r="C9" s="18">
        <v>0</v>
      </c>
      <c r="D9" s="36">
        <v>0</v>
      </c>
      <c r="E9" s="36">
        <v>0</v>
      </c>
      <c r="F9" s="34">
        <v>0</v>
      </c>
      <c r="G9" s="19">
        <v>0</v>
      </c>
      <c r="H9" s="21">
        <v>1</v>
      </c>
      <c r="I9" s="36">
        <v>994.08</v>
      </c>
      <c r="J9" s="36">
        <v>399</v>
      </c>
      <c r="K9" s="34">
        <v>0</v>
      </c>
      <c r="L9" s="22">
        <v>0</v>
      </c>
      <c r="M9" s="21">
        <v>1</v>
      </c>
      <c r="N9" s="34">
        <v>2664</v>
      </c>
      <c r="O9" s="7">
        <v>0</v>
      </c>
      <c r="P9" s="71">
        <f t="shared" si="0"/>
        <v>2</v>
      </c>
      <c r="Q9" s="61">
        <f t="shared" si="1"/>
        <v>4057.08</v>
      </c>
      <c r="R9" s="50">
        <f t="shared" si="2"/>
        <v>2028.54</v>
      </c>
      <c r="S9" s="50"/>
    </row>
    <row r="10" spans="2:21">
      <c r="B10" s="14" t="s">
        <v>10</v>
      </c>
      <c r="C10" s="18">
        <v>1</v>
      </c>
      <c r="D10" s="36">
        <v>2762.89</v>
      </c>
      <c r="E10" s="34">
        <v>3306</v>
      </c>
      <c r="F10" s="34">
        <v>500</v>
      </c>
      <c r="G10" s="19">
        <v>0</v>
      </c>
      <c r="H10" s="21">
        <v>0</v>
      </c>
      <c r="I10" s="36">
        <v>0</v>
      </c>
      <c r="J10" s="34">
        <v>0</v>
      </c>
      <c r="K10" s="34">
        <v>0</v>
      </c>
      <c r="L10" s="22">
        <v>0</v>
      </c>
      <c r="M10" s="21">
        <v>0</v>
      </c>
      <c r="N10" s="34">
        <v>0</v>
      </c>
      <c r="O10" s="7">
        <v>0</v>
      </c>
      <c r="P10" s="71">
        <f t="shared" si="0"/>
        <v>1</v>
      </c>
      <c r="Q10" s="61">
        <f t="shared" si="1"/>
        <v>6568.8899999999994</v>
      </c>
      <c r="R10" s="50">
        <f t="shared" si="2"/>
        <v>6568.8899999999994</v>
      </c>
      <c r="S10" s="50"/>
    </row>
    <row r="11" spans="2:21">
      <c r="B11" s="14" t="s">
        <v>11</v>
      </c>
      <c r="C11" s="18">
        <v>2</v>
      </c>
      <c r="D11" s="36">
        <v>83670.259999999995</v>
      </c>
      <c r="E11" s="34">
        <v>15173.4</v>
      </c>
      <c r="F11" s="34">
        <v>2550</v>
      </c>
      <c r="G11" s="19">
        <v>0</v>
      </c>
      <c r="H11" s="21">
        <v>0</v>
      </c>
      <c r="I11" s="36">
        <v>0</v>
      </c>
      <c r="J11" s="34">
        <v>0</v>
      </c>
      <c r="K11" s="34">
        <v>0</v>
      </c>
      <c r="L11" s="22">
        <v>0</v>
      </c>
      <c r="M11" s="21">
        <v>0</v>
      </c>
      <c r="N11" s="34">
        <v>0</v>
      </c>
      <c r="O11" s="7">
        <v>0</v>
      </c>
      <c r="P11" s="71">
        <f t="shared" si="0"/>
        <v>2</v>
      </c>
      <c r="Q11" s="61">
        <f t="shared" si="1"/>
        <v>101393.65999999999</v>
      </c>
      <c r="R11" s="50">
        <f t="shared" si="2"/>
        <v>50696.829999999994</v>
      </c>
      <c r="S11" s="50"/>
    </row>
    <row r="12" spans="2:21">
      <c r="B12" s="14" t="s">
        <v>12</v>
      </c>
      <c r="C12" s="18">
        <v>3</v>
      </c>
      <c r="D12" s="36">
        <v>185938.63</v>
      </c>
      <c r="E12" s="34">
        <v>17613</v>
      </c>
      <c r="F12" s="34">
        <v>0</v>
      </c>
      <c r="G12" s="20"/>
      <c r="H12" s="23">
        <v>2</v>
      </c>
      <c r="I12" s="37">
        <v>2273.16</v>
      </c>
      <c r="J12" s="34">
        <v>798</v>
      </c>
      <c r="K12" s="34">
        <v>0</v>
      </c>
      <c r="L12" s="24">
        <v>0</v>
      </c>
      <c r="M12" s="23">
        <v>0</v>
      </c>
      <c r="N12" s="38">
        <v>0</v>
      </c>
      <c r="O12" s="12">
        <v>0</v>
      </c>
      <c r="P12" s="71">
        <f t="shared" si="0"/>
        <v>5</v>
      </c>
      <c r="Q12" s="61">
        <f t="shared" si="1"/>
        <v>206622.79</v>
      </c>
      <c r="R12" s="50">
        <f t="shared" si="2"/>
        <v>41324.558000000005</v>
      </c>
      <c r="S12" s="50"/>
    </row>
    <row r="13" spans="2:21">
      <c r="B13" s="14" t="s">
        <v>13</v>
      </c>
      <c r="C13" s="18">
        <v>2</v>
      </c>
      <c r="D13" s="36">
        <v>72864.52</v>
      </c>
      <c r="E13" s="34">
        <v>24681</v>
      </c>
      <c r="F13" s="34">
        <v>0</v>
      </c>
      <c r="G13" s="20">
        <v>0</v>
      </c>
      <c r="H13" s="23">
        <v>0</v>
      </c>
      <c r="I13" s="37">
        <v>0</v>
      </c>
      <c r="J13" s="34">
        <v>0</v>
      </c>
      <c r="K13" s="34">
        <v>0</v>
      </c>
      <c r="L13" s="24">
        <v>0</v>
      </c>
      <c r="M13" s="23">
        <v>1</v>
      </c>
      <c r="N13" s="38">
        <v>5620</v>
      </c>
      <c r="O13" s="12">
        <v>0</v>
      </c>
      <c r="P13" s="71">
        <f t="shared" si="0"/>
        <v>3</v>
      </c>
      <c r="Q13" s="61">
        <f t="shared" si="1"/>
        <v>103165.52</v>
      </c>
      <c r="R13" s="50">
        <f t="shared" si="2"/>
        <v>34388.506666666668</v>
      </c>
      <c r="S13" s="50"/>
    </row>
    <row r="14" spans="2:21">
      <c r="B14" s="14" t="s">
        <v>14</v>
      </c>
      <c r="C14" s="18">
        <v>3</v>
      </c>
      <c r="D14" s="36">
        <v>145249.87</v>
      </c>
      <c r="E14" s="34">
        <v>20052.599999999999</v>
      </c>
      <c r="F14" s="34">
        <v>2437.5</v>
      </c>
      <c r="G14" s="20">
        <v>0</v>
      </c>
      <c r="H14" s="23">
        <v>0</v>
      </c>
      <c r="I14" s="37">
        <v>0</v>
      </c>
      <c r="J14" s="34">
        <v>0</v>
      </c>
      <c r="K14" s="34">
        <v>0</v>
      </c>
      <c r="L14" s="24">
        <v>0</v>
      </c>
      <c r="M14" s="23">
        <v>0</v>
      </c>
      <c r="N14" s="38">
        <v>0</v>
      </c>
      <c r="O14" s="12">
        <v>0</v>
      </c>
      <c r="P14" s="71">
        <f t="shared" si="0"/>
        <v>3</v>
      </c>
      <c r="Q14" s="61">
        <f t="shared" si="1"/>
        <v>167739.97</v>
      </c>
      <c r="R14" s="50">
        <f t="shared" si="2"/>
        <v>55913.323333333334</v>
      </c>
      <c r="S14" s="50"/>
    </row>
    <row r="15" spans="2:21">
      <c r="B15" s="14" t="s">
        <v>15</v>
      </c>
      <c r="C15" s="18">
        <v>1</v>
      </c>
      <c r="D15" s="36">
        <v>59446.52</v>
      </c>
      <c r="E15" s="34">
        <v>5814</v>
      </c>
      <c r="F15" s="34">
        <v>3515</v>
      </c>
      <c r="G15" s="20">
        <v>0</v>
      </c>
      <c r="H15" s="23">
        <v>1</v>
      </c>
      <c r="I15" s="37">
        <v>994.08</v>
      </c>
      <c r="J15" s="34">
        <v>399</v>
      </c>
      <c r="K15" s="34">
        <v>0</v>
      </c>
      <c r="L15" s="24">
        <v>0</v>
      </c>
      <c r="M15" s="23">
        <v>0</v>
      </c>
      <c r="N15" s="38">
        <v>0</v>
      </c>
      <c r="O15" s="12">
        <v>0</v>
      </c>
      <c r="P15" s="71">
        <f t="shared" si="0"/>
        <v>2</v>
      </c>
      <c r="Q15" s="61">
        <f t="shared" si="1"/>
        <v>70168.599999999991</v>
      </c>
      <c r="R15" s="50">
        <f t="shared" si="2"/>
        <v>35084.299999999996</v>
      </c>
      <c r="S15" s="50"/>
    </row>
    <row r="16" spans="2:21">
      <c r="B16" s="14" t="s">
        <v>16</v>
      </c>
      <c r="C16" s="18"/>
      <c r="D16" s="36"/>
      <c r="E16" s="34"/>
      <c r="F16" s="34"/>
      <c r="G16" s="20"/>
      <c r="H16" s="23"/>
      <c r="I16" s="37"/>
      <c r="J16" s="34"/>
      <c r="K16" s="34"/>
      <c r="L16" s="24"/>
      <c r="M16" s="23"/>
      <c r="N16" s="38"/>
      <c r="O16" s="12"/>
      <c r="P16" s="71">
        <f t="shared" si="0"/>
        <v>0</v>
      </c>
      <c r="Q16" s="61">
        <f t="shared" si="1"/>
        <v>0</v>
      </c>
      <c r="R16" s="50" t="e">
        <f t="shared" si="2"/>
        <v>#DIV/0!</v>
      </c>
      <c r="S16" s="50"/>
    </row>
    <row r="17" spans="2:19">
      <c r="B17" s="14" t="s">
        <v>17</v>
      </c>
      <c r="C17" s="18"/>
      <c r="D17" s="36"/>
      <c r="E17" s="34"/>
      <c r="F17" s="34"/>
      <c r="G17" s="20"/>
      <c r="H17" s="23"/>
      <c r="I17" s="37"/>
      <c r="J17" s="34"/>
      <c r="K17" s="34"/>
      <c r="L17" s="20"/>
      <c r="M17" s="23"/>
      <c r="N17" s="38"/>
      <c r="O17" s="12"/>
      <c r="P17" s="71">
        <f t="shared" si="0"/>
        <v>0</v>
      </c>
      <c r="Q17" s="61">
        <f t="shared" si="1"/>
        <v>0</v>
      </c>
      <c r="R17" s="50" t="e">
        <f t="shared" si="2"/>
        <v>#DIV/0!</v>
      </c>
      <c r="S17" s="50"/>
    </row>
    <row r="18" spans="2:19" ht="15.75" thickBot="1">
      <c r="B18" s="15" t="s">
        <v>18</v>
      </c>
      <c r="C18" s="25"/>
      <c r="D18" s="76"/>
      <c r="E18" s="42"/>
      <c r="F18" s="42"/>
      <c r="G18" s="26"/>
      <c r="H18" s="27"/>
      <c r="I18" s="45"/>
      <c r="J18" s="42"/>
      <c r="K18" s="42"/>
      <c r="L18" s="28"/>
      <c r="M18" s="27"/>
      <c r="N18" s="44"/>
      <c r="O18" s="29"/>
      <c r="P18" s="72">
        <f t="shared" si="0"/>
        <v>0</v>
      </c>
      <c r="Q18" s="63">
        <f t="shared" si="1"/>
        <v>0</v>
      </c>
      <c r="R18" s="50" t="e">
        <f t="shared" si="2"/>
        <v>#DIV/0!</v>
      </c>
      <c r="S18" s="50"/>
    </row>
    <row r="19" spans="2:19" ht="15.75" thickBot="1">
      <c r="C19" s="41">
        <f t="shared" ref="C19:O19" si="3">SUM(C7:C18)</f>
        <v>24</v>
      </c>
      <c r="D19" s="4">
        <f t="shared" si="3"/>
        <v>923578.81</v>
      </c>
      <c r="E19" s="4">
        <f t="shared" si="3"/>
        <v>145102.19999999998</v>
      </c>
      <c r="F19" s="4">
        <f t="shared" si="3"/>
        <v>19077.5</v>
      </c>
      <c r="G19" s="4">
        <f t="shared" si="3"/>
        <v>0</v>
      </c>
      <c r="H19" s="11">
        <f>SUM(H7:H18)</f>
        <v>6</v>
      </c>
      <c r="I19" s="4">
        <f>SUM(I7:I18)</f>
        <v>6249.48</v>
      </c>
      <c r="J19" s="4">
        <f t="shared" ref="J19:L19" si="4">SUM(J7:J18)</f>
        <v>2394</v>
      </c>
      <c r="K19" s="4">
        <f t="shared" si="4"/>
        <v>0</v>
      </c>
      <c r="L19" s="4">
        <f t="shared" si="4"/>
        <v>0</v>
      </c>
      <c r="M19" s="11">
        <f>SUM(M7:M18)</f>
        <v>3</v>
      </c>
      <c r="N19" s="4">
        <f t="shared" si="3"/>
        <v>9084</v>
      </c>
      <c r="O19" s="4">
        <f t="shared" si="3"/>
        <v>0</v>
      </c>
      <c r="P19" s="69">
        <f>SUM(P7:P18)</f>
        <v>33</v>
      </c>
      <c r="Q19" s="70">
        <f>SUM(Q7:Q18)</f>
        <v>1105485.99</v>
      </c>
      <c r="R19" s="50">
        <f>Q19/P19</f>
        <v>33499.575454545455</v>
      </c>
      <c r="S19" s="50"/>
    </row>
    <row r="20" spans="2:19" ht="15.75" thickTop="1">
      <c r="C20" s="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  <c r="Q20" s="5"/>
      <c r="R20" s="5"/>
      <c r="S20" s="5"/>
    </row>
    <row r="21" spans="2:19" ht="15.75" thickBot="1">
      <c r="C21" s="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6"/>
      <c r="Q21" s="5"/>
      <c r="R21" s="5"/>
      <c r="S21" s="5"/>
    </row>
    <row r="22" spans="2:19" ht="15.75" thickBot="1">
      <c r="C22" s="246" t="s">
        <v>30</v>
      </c>
      <c r="D22" s="247"/>
      <c r="E22" s="247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8"/>
      <c r="R22" s="48"/>
      <c r="S22" s="48"/>
    </row>
    <row r="23" spans="2:19" ht="15.75" thickBot="1">
      <c r="C23" s="249" t="s">
        <v>25</v>
      </c>
      <c r="D23" s="250"/>
      <c r="E23" s="250"/>
      <c r="F23" s="250"/>
      <c r="G23" s="251"/>
      <c r="H23" s="249" t="s">
        <v>27</v>
      </c>
      <c r="I23" s="250"/>
      <c r="J23" s="250"/>
      <c r="K23" s="250"/>
      <c r="L23" s="251"/>
      <c r="M23" s="246" t="s">
        <v>1</v>
      </c>
      <c r="N23" s="247"/>
      <c r="O23" s="247"/>
      <c r="P23" s="252" t="s">
        <v>29</v>
      </c>
      <c r="Q23" s="253"/>
    </row>
    <row r="24" spans="2:19" ht="15.75" thickBot="1">
      <c r="C24" s="30" t="s">
        <v>3</v>
      </c>
      <c r="D24" s="35" t="s">
        <v>48</v>
      </c>
      <c r="E24" s="33" t="s">
        <v>47</v>
      </c>
      <c r="F24" s="33" t="s">
        <v>726</v>
      </c>
      <c r="G24" s="32" t="s">
        <v>26</v>
      </c>
      <c r="H24" s="30" t="s">
        <v>28</v>
      </c>
      <c r="I24" s="35" t="s">
        <v>48</v>
      </c>
      <c r="J24" s="33" t="s">
        <v>47</v>
      </c>
      <c r="K24" s="33" t="s">
        <v>726</v>
      </c>
      <c r="L24" s="32" t="s">
        <v>26</v>
      </c>
      <c r="M24" s="30" t="s">
        <v>28</v>
      </c>
      <c r="N24" s="33" t="s">
        <v>4</v>
      </c>
      <c r="O24" s="31" t="s">
        <v>5</v>
      </c>
      <c r="P24" s="58" t="s">
        <v>28</v>
      </c>
      <c r="Q24" s="59" t="s">
        <v>29</v>
      </c>
      <c r="R24" s="16" t="s">
        <v>38</v>
      </c>
      <c r="S24" s="16"/>
    </row>
    <row r="25" spans="2:19">
      <c r="B25" s="13" t="s">
        <v>7</v>
      </c>
      <c r="C25" s="18">
        <v>7</v>
      </c>
      <c r="D25" s="36">
        <v>76626.36</v>
      </c>
      <c r="E25" s="36">
        <v>21295.200000000001</v>
      </c>
      <c r="F25" s="34">
        <v>1868.65</v>
      </c>
      <c r="G25" s="19">
        <v>0</v>
      </c>
      <c r="H25" s="21">
        <v>8</v>
      </c>
      <c r="I25" s="36">
        <v>14982.87</v>
      </c>
      <c r="J25" s="36">
        <v>1881</v>
      </c>
      <c r="K25" s="34">
        <v>0</v>
      </c>
      <c r="L25" s="22">
        <v>0</v>
      </c>
      <c r="M25" s="21">
        <v>1</v>
      </c>
      <c r="N25" s="39">
        <v>1560</v>
      </c>
      <c r="O25" s="3">
        <v>0</v>
      </c>
      <c r="P25" s="60">
        <f>SUM(C25+H25+M25)</f>
        <v>16</v>
      </c>
      <c r="Q25" s="61">
        <f>D25+E25+F25+G25+I25+J25+K25+L25+N25+O25</f>
        <v>118214.07999999999</v>
      </c>
      <c r="R25" s="50">
        <f>Q25/P25</f>
        <v>7388.3799999999992</v>
      </c>
      <c r="S25" s="50"/>
    </row>
    <row r="26" spans="2:19">
      <c r="B26" s="14" t="s">
        <v>8</v>
      </c>
      <c r="C26" s="18">
        <v>3</v>
      </c>
      <c r="D26" s="36">
        <v>81784.47</v>
      </c>
      <c r="E26" s="36">
        <v>21922.2</v>
      </c>
      <c r="F26" s="34">
        <v>2375</v>
      </c>
      <c r="G26" s="19">
        <v>0</v>
      </c>
      <c r="H26" s="21">
        <v>1</v>
      </c>
      <c r="I26" s="36">
        <v>2091.8200000000002</v>
      </c>
      <c r="J26" s="36">
        <v>262.2</v>
      </c>
      <c r="K26" s="34">
        <v>0</v>
      </c>
      <c r="L26" s="22">
        <v>0</v>
      </c>
      <c r="M26" s="21">
        <v>0</v>
      </c>
      <c r="N26" s="34">
        <v>0</v>
      </c>
      <c r="O26" s="19">
        <v>0</v>
      </c>
      <c r="P26" s="60">
        <f t="shared" ref="P26:P36" si="5">SUM(C26+H26+M26)</f>
        <v>4</v>
      </c>
      <c r="Q26" s="61">
        <f t="shared" ref="Q26:Q36" si="6">D26+E26+F26+G26+I26+J26+K26+L26+N26+O26</f>
        <v>108435.69</v>
      </c>
      <c r="R26" s="50">
        <f t="shared" ref="R26:R37" si="7">Q26/P26</f>
        <v>27108.922500000001</v>
      </c>
      <c r="S26" s="50"/>
    </row>
    <row r="27" spans="2:19">
      <c r="B27" s="14" t="s">
        <v>9</v>
      </c>
      <c r="C27" s="18">
        <v>3</v>
      </c>
      <c r="D27" s="36">
        <v>35006.71</v>
      </c>
      <c r="E27" s="36">
        <v>7706.4</v>
      </c>
      <c r="F27" s="34">
        <v>0</v>
      </c>
      <c r="G27" s="19">
        <v>0</v>
      </c>
      <c r="H27" s="21">
        <v>0</v>
      </c>
      <c r="I27" s="36">
        <v>0</v>
      </c>
      <c r="J27" s="36">
        <v>0</v>
      </c>
      <c r="K27" s="34">
        <v>172.98</v>
      </c>
      <c r="L27" s="22">
        <v>0</v>
      </c>
      <c r="M27" s="21">
        <v>2</v>
      </c>
      <c r="N27" s="34">
        <v>649.9</v>
      </c>
      <c r="O27" s="7">
        <v>4551.26</v>
      </c>
      <c r="P27" s="60">
        <f t="shared" si="5"/>
        <v>5</v>
      </c>
      <c r="Q27" s="61">
        <f t="shared" si="6"/>
        <v>48087.250000000007</v>
      </c>
      <c r="R27" s="50">
        <f t="shared" si="7"/>
        <v>9617.4500000000007</v>
      </c>
      <c r="S27" s="50"/>
    </row>
    <row r="28" spans="2:19">
      <c r="B28" s="14" t="s">
        <v>10</v>
      </c>
      <c r="C28" s="18">
        <v>5</v>
      </c>
      <c r="D28" s="36">
        <v>52416.14</v>
      </c>
      <c r="E28" s="34">
        <v>13474.8</v>
      </c>
      <c r="F28" s="34">
        <v>2411.69</v>
      </c>
      <c r="G28" s="19">
        <v>0</v>
      </c>
      <c r="H28" s="21">
        <v>6</v>
      </c>
      <c r="I28" s="36">
        <v>13219.85</v>
      </c>
      <c r="J28" s="34">
        <v>1504.8</v>
      </c>
      <c r="K28" s="34">
        <v>0</v>
      </c>
      <c r="L28" s="22">
        <v>0</v>
      </c>
      <c r="M28" s="21">
        <v>3</v>
      </c>
      <c r="N28" s="34">
        <v>0</v>
      </c>
      <c r="O28" s="7">
        <v>20263.86</v>
      </c>
      <c r="P28" s="60">
        <f t="shared" si="5"/>
        <v>14</v>
      </c>
      <c r="Q28" s="61">
        <f t="shared" si="6"/>
        <v>103291.14000000001</v>
      </c>
      <c r="R28" s="50">
        <f t="shared" si="7"/>
        <v>7377.9385714285727</v>
      </c>
      <c r="S28" s="50"/>
    </row>
    <row r="29" spans="2:19">
      <c r="B29" s="14" t="s">
        <v>11</v>
      </c>
      <c r="C29" s="18">
        <v>10</v>
      </c>
      <c r="D29" s="36">
        <v>153504.63</v>
      </c>
      <c r="E29" s="34">
        <v>34108.800000000003</v>
      </c>
      <c r="F29" s="34">
        <v>2061.6999999999998</v>
      </c>
      <c r="G29" s="19">
        <v>0</v>
      </c>
      <c r="H29" s="21">
        <v>2</v>
      </c>
      <c r="I29" s="36">
        <v>5165.1499999999996</v>
      </c>
      <c r="J29" s="34">
        <v>490.2</v>
      </c>
      <c r="K29" s="34">
        <v>0</v>
      </c>
      <c r="L29" s="22">
        <v>0</v>
      </c>
      <c r="M29" s="21">
        <v>0</v>
      </c>
      <c r="N29" s="34">
        <v>0</v>
      </c>
      <c r="O29" s="7">
        <v>0</v>
      </c>
      <c r="P29" s="60">
        <f t="shared" si="5"/>
        <v>12</v>
      </c>
      <c r="Q29" s="61">
        <f t="shared" si="6"/>
        <v>195330.48</v>
      </c>
      <c r="R29" s="50">
        <f t="shared" si="7"/>
        <v>16277.54</v>
      </c>
      <c r="S29" s="50"/>
    </row>
    <row r="30" spans="2:19">
      <c r="B30" s="14" t="s">
        <v>12</v>
      </c>
      <c r="C30" s="18">
        <v>3</v>
      </c>
      <c r="D30" s="36">
        <v>25784.15</v>
      </c>
      <c r="E30" s="34">
        <v>14763</v>
      </c>
      <c r="F30" s="34">
        <v>1527</v>
      </c>
      <c r="G30" s="20"/>
      <c r="H30" s="23">
        <v>3</v>
      </c>
      <c r="I30" s="37">
        <v>6214.63</v>
      </c>
      <c r="J30" s="34">
        <v>752.4</v>
      </c>
      <c r="K30" s="34">
        <v>172.98</v>
      </c>
      <c r="L30" s="24">
        <v>0</v>
      </c>
      <c r="M30" s="23">
        <v>2</v>
      </c>
      <c r="N30" s="38">
        <v>0</v>
      </c>
      <c r="O30" s="12">
        <v>2843.9</v>
      </c>
      <c r="P30" s="60">
        <f t="shared" si="5"/>
        <v>8</v>
      </c>
      <c r="Q30" s="61">
        <f t="shared" si="6"/>
        <v>52058.060000000005</v>
      </c>
      <c r="R30" s="50">
        <f t="shared" si="7"/>
        <v>6507.2575000000006</v>
      </c>
      <c r="S30" s="50"/>
    </row>
    <row r="31" spans="2:19">
      <c r="B31" s="14" t="s">
        <v>13</v>
      </c>
      <c r="C31" s="18">
        <v>4</v>
      </c>
      <c r="D31" s="36">
        <v>71069.600000000006</v>
      </c>
      <c r="E31" s="34">
        <v>11947.2</v>
      </c>
      <c r="F31" s="34">
        <v>0</v>
      </c>
      <c r="G31" s="20">
        <v>0</v>
      </c>
      <c r="H31" s="23">
        <v>3</v>
      </c>
      <c r="I31" s="37">
        <v>7169.65</v>
      </c>
      <c r="J31" s="34">
        <v>815.1</v>
      </c>
      <c r="K31" s="34">
        <v>30</v>
      </c>
      <c r="L31" s="24">
        <v>0</v>
      </c>
      <c r="M31" s="23">
        <v>0</v>
      </c>
      <c r="N31" s="38">
        <v>0</v>
      </c>
      <c r="O31" s="12">
        <v>0</v>
      </c>
      <c r="P31" s="60">
        <f t="shared" si="5"/>
        <v>7</v>
      </c>
      <c r="Q31" s="61">
        <f t="shared" si="6"/>
        <v>91031.55</v>
      </c>
      <c r="R31" s="50">
        <f t="shared" si="7"/>
        <v>13004.507142857143</v>
      </c>
      <c r="S31" s="50"/>
    </row>
    <row r="32" spans="2:19">
      <c r="B32" s="14" t="s">
        <v>14</v>
      </c>
      <c r="C32" s="18">
        <v>8</v>
      </c>
      <c r="D32" s="36">
        <v>160868.59</v>
      </c>
      <c r="E32" s="36">
        <v>33504.6</v>
      </c>
      <c r="F32" s="34">
        <v>1028.8499999999999</v>
      </c>
      <c r="G32" s="20">
        <v>0</v>
      </c>
      <c r="H32" s="23">
        <v>4</v>
      </c>
      <c r="I32" s="37">
        <v>8499.2199999999993</v>
      </c>
      <c r="J32" s="34">
        <v>1014.6</v>
      </c>
      <c r="K32" s="34">
        <v>0</v>
      </c>
      <c r="L32" s="24">
        <v>0</v>
      </c>
      <c r="M32" s="23">
        <v>2</v>
      </c>
      <c r="N32" s="38">
        <v>0</v>
      </c>
      <c r="O32" s="12">
        <v>12756.45</v>
      </c>
      <c r="P32" s="60">
        <f t="shared" si="5"/>
        <v>14</v>
      </c>
      <c r="Q32" s="61">
        <f t="shared" si="6"/>
        <v>217672.31000000003</v>
      </c>
      <c r="R32" s="50">
        <f t="shared" si="7"/>
        <v>15548.022142857144</v>
      </c>
      <c r="S32" s="50"/>
    </row>
    <row r="33" spans="2:19">
      <c r="B33" s="14" t="s">
        <v>15</v>
      </c>
      <c r="C33" s="18">
        <v>2</v>
      </c>
      <c r="D33" s="36">
        <v>16887.580000000002</v>
      </c>
      <c r="E33" s="34">
        <v>3283.2</v>
      </c>
      <c r="F33" s="34">
        <v>0</v>
      </c>
      <c r="G33" s="20">
        <v>0</v>
      </c>
      <c r="H33" s="23">
        <v>2</v>
      </c>
      <c r="I33" s="37">
        <v>4198.8100000000004</v>
      </c>
      <c r="J33" s="34">
        <v>490.2</v>
      </c>
      <c r="K33" s="34">
        <v>337.44</v>
      </c>
      <c r="L33" s="24">
        <v>0</v>
      </c>
      <c r="M33" s="23">
        <v>4</v>
      </c>
      <c r="N33" s="38">
        <v>390</v>
      </c>
      <c r="O33" s="12">
        <v>3967.88</v>
      </c>
      <c r="P33" s="60">
        <f t="shared" si="5"/>
        <v>8</v>
      </c>
      <c r="Q33" s="61">
        <f t="shared" si="6"/>
        <v>29555.110000000004</v>
      </c>
      <c r="R33" s="50">
        <f t="shared" si="7"/>
        <v>3694.3887500000005</v>
      </c>
      <c r="S33" s="50"/>
    </row>
    <row r="34" spans="2:19">
      <c r="B34" s="14" t="s">
        <v>16</v>
      </c>
      <c r="C34" s="18"/>
      <c r="D34" s="36"/>
      <c r="E34" s="34"/>
      <c r="F34" s="34"/>
      <c r="G34" s="20"/>
      <c r="H34" s="23"/>
      <c r="I34" s="37"/>
      <c r="J34" s="34"/>
      <c r="K34" s="34"/>
      <c r="L34" s="24"/>
      <c r="M34" s="23"/>
      <c r="N34" s="38"/>
      <c r="O34" s="12"/>
      <c r="P34" s="60">
        <f t="shared" si="5"/>
        <v>0</v>
      </c>
      <c r="Q34" s="61">
        <f t="shared" si="6"/>
        <v>0</v>
      </c>
      <c r="R34" s="50" t="e">
        <f t="shared" si="7"/>
        <v>#DIV/0!</v>
      </c>
      <c r="S34" s="50"/>
    </row>
    <row r="35" spans="2:19">
      <c r="B35" s="14" t="s">
        <v>17</v>
      </c>
      <c r="C35" s="18"/>
      <c r="D35" s="36"/>
      <c r="E35" s="34"/>
      <c r="F35" s="34"/>
      <c r="G35" s="20"/>
      <c r="H35" s="23"/>
      <c r="I35" s="37"/>
      <c r="J35" s="34"/>
      <c r="K35" s="34"/>
      <c r="L35" s="20"/>
      <c r="M35" s="23"/>
      <c r="N35" s="38"/>
      <c r="O35" s="12"/>
      <c r="P35" s="60">
        <f t="shared" si="5"/>
        <v>0</v>
      </c>
      <c r="Q35" s="61">
        <f t="shared" si="6"/>
        <v>0</v>
      </c>
      <c r="R35" s="50" t="e">
        <f t="shared" si="7"/>
        <v>#DIV/0!</v>
      </c>
      <c r="S35" s="50"/>
    </row>
    <row r="36" spans="2:19" ht="15.75" thickBot="1">
      <c r="B36" s="15" t="s">
        <v>18</v>
      </c>
      <c r="C36" s="25"/>
      <c r="D36" s="76"/>
      <c r="E36" s="42"/>
      <c r="F36" s="42"/>
      <c r="G36" s="26"/>
      <c r="H36" s="27"/>
      <c r="I36" s="45"/>
      <c r="J36" s="42"/>
      <c r="K36" s="42"/>
      <c r="L36" s="28"/>
      <c r="M36" s="27"/>
      <c r="N36" s="44"/>
      <c r="O36" s="29"/>
      <c r="P36" s="62">
        <f t="shared" si="5"/>
        <v>0</v>
      </c>
      <c r="Q36" s="63">
        <f t="shared" si="6"/>
        <v>0</v>
      </c>
      <c r="R36" s="50" t="e">
        <f t="shared" si="7"/>
        <v>#DIV/0!</v>
      </c>
      <c r="S36" s="50"/>
    </row>
    <row r="37" spans="2:19" ht="15.75" thickBot="1">
      <c r="C37" s="41">
        <f t="shared" ref="C37:O37" si="8">SUM(C25:C36)</f>
        <v>45</v>
      </c>
      <c r="D37" s="4">
        <f t="shared" si="8"/>
        <v>673948.23</v>
      </c>
      <c r="E37" s="4">
        <f t="shared" si="8"/>
        <v>162005.40000000002</v>
      </c>
      <c r="F37" s="4">
        <f t="shared" si="8"/>
        <v>11272.890000000001</v>
      </c>
      <c r="G37" s="4">
        <f t="shared" si="8"/>
        <v>0</v>
      </c>
      <c r="H37" s="11">
        <f>SUM(H25:H36)</f>
        <v>29</v>
      </c>
      <c r="I37" s="4">
        <f t="shared" si="8"/>
        <v>61542</v>
      </c>
      <c r="J37" s="4">
        <f t="shared" si="8"/>
        <v>7210.5</v>
      </c>
      <c r="K37" s="4">
        <f t="shared" si="8"/>
        <v>713.4</v>
      </c>
      <c r="L37" s="4">
        <f t="shared" si="8"/>
        <v>0</v>
      </c>
      <c r="M37" s="11">
        <f>SUM(M25:M36)</f>
        <v>14</v>
      </c>
      <c r="N37" s="4">
        <f t="shared" si="8"/>
        <v>2599.9</v>
      </c>
      <c r="O37" s="4">
        <f t="shared" si="8"/>
        <v>44383.35</v>
      </c>
      <c r="P37" s="64">
        <f>SUM(P25:P36)</f>
        <v>88</v>
      </c>
      <c r="Q37" s="65">
        <f>SUM(Q25:Q36)</f>
        <v>963675.67000000016</v>
      </c>
      <c r="R37" s="50">
        <f t="shared" si="7"/>
        <v>10950.859886363638</v>
      </c>
      <c r="S37" s="50"/>
    </row>
    <row r="38" spans="2:19" ht="15.75" thickTop="1">
      <c r="C38" s="52"/>
      <c r="D38" s="8"/>
      <c r="E38" s="8"/>
      <c r="F38" s="8"/>
      <c r="G38" s="8"/>
      <c r="H38" s="53"/>
      <c r="I38" s="8"/>
      <c r="J38" s="8"/>
      <c r="K38" s="8"/>
      <c r="L38" s="8"/>
      <c r="M38" s="53"/>
      <c r="N38" s="8"/>
      <c r="O38" s="8"/>
      <c r="P38" s="52"/>
      <c r="Q38" s="8"/>
      <c r="R38" s="50"/>
      <c r="S38" s="50"/>
    </row>
    <row r="39" spans="2:19" ht="15.75" thickBot="1">
      <c r="C39" s="52"/>
      <c r="D39" s="8"/>
      <c r="E39" s="8"/>
      <c r="F39" s="8"/>
      <c r="G39" s="8"/>
      <c r="H39" s="53"/>
      <c r="I39" s="8"/>
      <c r="J39" s="8"/>
      <c r="K39" s="8"/>
      <c r="L39" s="8"/>
      <c r="M39" s="53"/>
      <c r="N39" s="8"/>
      <c r="O39" s="8"/>
      <c r="P39" s="52"/>
      <c r="Q39" s="8"/>
      <c r="R39" s="50"/>
      <c r="S39" s="50"/>
    </row>
    <row r="40" spans="2:19" ht="15.75" thickBot="1">
      <c r="C40" s="246" t="s">
        <v>33</v>
      </c>
      <c r="D40" s="247"/>
      <c r="E40" s="247"/>
      <c r="F40" s="247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8"/>
      <c r="S40" s="50"/>
    </row>
    <row r="41" spans="2:19" ht="15.75" customHeight="1" thickBot="1">
      <c r="C41" s="249" t="s">
        <v>34</v>
      </c>
      <c r="D41" s="250"/>
      <c r="E41" s="250"/>
      <c r="F41" s="250"/>
      <c r="G41" s="250"/>
      <c r="H41" s="250"/>
      <c r="I41" s="250"/>
      <c r="J41" s="250"/>
      <c r="K41" s="250"/>
      <c r="L41" s="251"/>
      <c r="M41" s="257" t="s">
        <v>35</v>
      </c>
      <c r="N41" s="258"/>
      <c r="O41" s="259"/>
      <c r="P41" s="252" t="s">
        <v>29</v>
      </c>
      <c r="Q41" s="253"/>
      <c r="S41" s="50"/>
    </row>
    <row r="42" spans="2:19" ht="15.75" thickBot="1">
      <c r="C42" s="30" t="s">
        <v>3</v>
      </c>
      <c r="D42" s="33" t="s">
        <v>6</v>
      </c>
      <c r="E42" s="194"/>
      <c r="F42" s="194"/>
      <c r="G42" s="31" t="s">
        <v>3</v>
      </c>
      <c r="H42" s="33" t="s">
        <v>2</v>
      </c>
      <c r="I42" s="40" t="s">
        <v>3</v>
      </c>
      <c r="J42" s="194"/>
      <c r="K42" s="194"/>
      <c r="L42" s="32" t="s">
        <v>26</v>
      </c>
      <c r="M42" s="30" t="s">
        <v>28</v>
      </c>
      <c r="N42" s="35" t="s">
        <v>44</v>
      </c>
      <c r="O42" s="55" t="s">
        <v>26</v>
      </c>
      <c r="P42" s="66" t="s">
        <v>28</v>
      </c>
      <c r="Q42" s="59" t="s">
        <v>29</v>
      </c>
      <c r="R42" s="16" t="s">
        <v>38</v>
      </c>
      <c r="S42" s="50"/>
    </row>
    <row r="43" spans="2:19">
      <c r="B43" s="13" t="s">
        <v>7</v>
      </c>
      <c r="C43" s="18">
        <v>0</v>
      </c>
      <c r="D43" s="34">
        <v>0</v>
      </c>
      <c r="E43" s="195"/>
      <c r="F43" s="200"/>
      <c r="G43" s="155">
        <v>0</v>
      </c>
      <c r="H43" s="34">
        <v>0</v>
      </c>
      <c r="I43" s="46">
        <v>2</v>
      </c>
      <c r="J43" s="195"/>
      <c r="K43" s="195"/>
      <c r="L43" s="19">
        <v>1092.58</v>
      </c>
      <c r="M43" s="21">
        <v>0</v>
      </c>
      <c r="N43" s="36">
        <v>0</v>
      </c>
      <c r="O43" s="156">
        <v>0</v>
      </c>
      <c r="P43" s="67">
        <f t="shared" ref="P43:P54" si="9">SUM(C43+G43+I43+M43)</f>
        <v>2</v>
      </c>
      <c r="Q43" s="61">
        <f>SUM(D43+H43+L43+N43+O43)</f>
        <v>1092.58</v>
      </c>
      <c r="R43" s="50">
        <f t="shared" ref="R43:R55" si="10">Q43/P43</f>
        <v>546.29</v>
      </c>
      <c r="S43" s="50"/>
    </row>
    <row r="44" spans="2:19">
      <c r="B44" s="14" t="s">
        <v>8</v>
      </c>
      <c r="C44" s="18">
        <v>0</v>
      </c>
      <c r="D44" s="34">
        <v>0</v>
      </c>
      <c r="E44" s="195"/>
      <c r="F44" s="195"/>
      <c r="G44" s="75">
        <v>0</v>
      </c>
      <c r="H44" s="34">
        <v>0</v>
      </c>
      <c r="I44" s="46">
        <v>1</v>
      </c>
      <c r="J44" s="195"/>
      <c r="K44" s="195"/>
      <c r="L44" s="19">
        <v>727.33</v>
      </c>
      <c r="M44" s="21">
        <v>0</v>
      </c>
      <c r="N44" s="36">
        <v>0</v>
      </c>
      <c r="O44" s="156">
        <v>0</v>
      </c>
      <c r="P44" s="67">
        <f t="shared" si="9"/>
        <v>1</v>
      </c>
      <c r="Q44" s="61">
        <f t="shared" ref="Q44:Q54" si="11">SUM(D44+H44+L44+N44+O44)</f>
        <v>727.33</v>
      </c>
      <c r="R44" s="50">
        <f t="shared" si="10"/>
        <v>727.33</v>
      </c>
      <c r="S44" s="50"/>
    </row>
    <row r="45" spans="2:19">
      <c r="B45" s="14" t="s">
        <v>9</v>
      </c>
      <c r="C45" s="18">
        <v>0</v>
      </c>
      <c r="D45" s="34">
        <v>0</v>
      </c>
      <c r="E45" s="195"/>
      <c r="F45" s="195"/>
      <c r="G45" s="75">
        <v>0</v>
      </c>
      <c r="H45" s="34">
        <v>0</v>
      </c>
      <c r="I45" s="46">
        <v>1</v>
      </c>
      <c r="J45" s="195"/>
      <c r="K45" s="195"/>
      <c r="L45" s="19">
        <v>634.33000000000004</v>
      </c>
      <c r="M45" s="21">
        <v>0</v>
      </c>
      <c r="N45" s="36">
        <v>0</v>
      </c>
      <c r="O45" s="156">
        <v>0</v>
      </c>
      <c r="P45" s="67">
        <f t="shared" si="9"/>
        <v>1</v>
      </c>
      <c r="Q45" s="61">
        <f t="shared" si="11"/>
        <v>634.33000000000004</v>
      </c>
      <c r="R45" s="50">
        <f t="shared" si="10"/>
        <v>634.33000000000004</v>
      </c>
      <c r="S45" s="50"/>
    </row>
    <row r="46" spans="2:19">
      <c r="B46" s="14" t="s">
        <v>10</v>
      </c>
      <c r="C46" s="18">
        <v>0</v>
      </c>
      <c r="D46" s="34">
        <v>0</v>
      </c>
      <c r="E46" s="195"/>
      <c r="F46" s="195"/>
      <c r="G46" s="75">
        <v>0</v>
      </c>
      <c r="H46" s="34">
        <v>0</v>
      </c>
      <c r="I46" s="46">
        <v>1</v>
      </c>
      <c r="J46" s="195"/>
      <c r="K46" s="195"/>
      <c r="L46" s="19">
        <v>296.82</v>
      </c>
      <c r="M46" s="21">
        <v>0</v>
      </c>
      <c r="N46" s="36">
        <v>0</v>
      </c>
      <c r="O46" s="156">
        <v>0</v>
      </c>
      <c r="P46" s="67">
        <f t="shared" si="9"/>
        <v>1</v>
      </c>
      <c r="Q46" s="61">
        <f t="shared" si="11"/>
        <v>296.82</v>
      </c>
      <c r="R46" s="50">
        <f t="shared" si="10"/>
        <v>296.82</v>
      </c>
      <c r="S46" s="50"/>
    </row>
    <row r="47" spans="2:19">
      <c r="B47" s="14" t="s">
        <v>11</v>
      </c>
      <c r="C47" s="18">
        <v>0</v>
      </c>
      <c r="D47" s="34">
        <v>0</v>
      </c>
      <c r="E47" s="195"/>
      <c r="F47" s="195"/>
      <c r="G47" s="75">
        <v>0</v>
      </c>
      <c r="H47" s="34">
        <v>0</v>
      </c>
      <c r="I47" s="46">
        <v>1</v>
      </c>
      <c r="J47" s="195"/>
      <c r="K47" s="195"/>
      <c r="L47" s="19">
        <v>649.54999999999995</v>
      </c>
      <c r="M47" s="21">
        <v>0</v>
      </c>
      <c r="N47" s="36">
        <v>0</v>
      </c>
      <c r="O47" s="156">
        <v>0</v>
      </c>
      <c r="P47" s="67">
        <f t="shared" si="9"/>
        <v>1</v>
      </c>
      <c r="Q47" s="61">
        <f t="shared" si="11"/>
        <v>649.54999999999995</v>
      </c>
      <c r="R47" s="50">
        <f t="shared" si="10"/>
        <v>649.54999999999995</v>
      </c>
      <c r="S47" s="50"/>
    </row>
    <row r="48" spans="2:19">
      <c r="B48" s="14" t="s">
        <v>12</v>
      </c>
      <c r="C48" s="18">
        <v>0</v>
      </c>
      <c r="D48" s="34">
        <v>0</v>
      </c>
      <c r="E48" s="195"/>
      <c r="F48" s="195"/>
      <c r="G48" s="75">
        <v>0</v>
      </c>
      <c r="H48" s="34">
        <v>0</v>
      </c>
      <c r="I48" s="46">
        <v>1</v>
      </c>
      <c r="J48" s="195"/>
      <c r="K48" s="195"/>
      <c r="L48" s="20">
        <v>336.86</v>
      </c>
      <c r="M48" s="23">
        <v>0</v>
      </c>
      <c r="N48" s="37">
        <v>0</v>
      </c>
      <c r="O48" s="156">
        <v>0</v>
      </c>
      <c r="P48" s="67">
        <f t="shared" si="9"/>
        <v>1</v>
      </c>
      <c r="Q48" s="61">
        <f t="shared" si="11"/>
        <v>336.86</v>
      </c>
      <c r="R48" s="50">
        <f t="shared" si="10"/>
        <v>336.86</v>
      </c>
      <c r="S48" s="50"/>
    </row>
    <row r="49" spans="2:19">
      <c r="B49" s="14" t="s">
        <v>13</v>
      </c>
      <c r="C49" s="18">
        <v>0</v>
      </c>
      <c r="D49" s="34">
        <v>0</v>
      </c>
      <c r="E49" s="195"/>
      <c r="F49" s="195"/>
      <c r="G49" s="75">
        <v>0</v>
      </c>
      <c r="H49" s="34">
        <v>0</v>
      </c>
      <c r="I49" s="46">
        <v>1</v>
      </c>
      <c r="J49" s="195"/>
      <c r="K49" s="195"/>
      <c r="L49" s="20">
        <v>369.98</v>
      </c>
      <c r="M49" s="23">
        <v>0</v>
      </c>
      <c r="N49" s="37">
        <v>0</v>
      </c>
      <c r="O49" s="156">
        <v>0</v>
      </c>
      <c r="P49" s="67">
        <f t="shared" si="9"/>
        <v>1</v>
      </c>
      <c r="Q49" s="61">
        <f t="shared" si="11"/>
        <v>369.98</v>
      </c>
      <c r="R49" s="50">
        <f t="shared" si="10"/>
        <v>369.98</v>
      </c>
      <c r="S49" s="50"/>
    </row>
    <row r="50" spans="2:19">
      <c r="B50" s="14" t="s">
        <v>14</v>
      </c>
      <c r="C50" s="18">
        <v>0</v>
      </c>
      <c r="D50" s="34">
        <v>0</v>
      </c>
      <c r="E50" s="195"/>
      <c r="F50" s="195"/>
      <c r="G50" s="75">
        <v>0</v>
      </c>
      <c r="H50" s="34">
        <v>0</v>
      </c>
      <c r="I50" s="46">
        <v>1</v>
      </c>
      <c r="J50" s="195"/>
      <c r="K50" s="195"/>
      <c r="L50" s="20">
        <v>336.86</v>
      </c>
      <c r="M50" s="23">
        <v>0</v>
      </c>
      <c r="N50" s="37">
        <v>0</v>
      </c>
      <c r="O50" s="156">
        <v>0</v>
      </c>
      <c r="P50" s="67">
        <f t="shared" si="9"/>
        <v>1</v>
      </c>
      <c r="Q50" s="61">
        <f t="shared" si="11"/>
        <v>336.86</v>
      </c>
      <c r="R50" s="50">
        <f t="shared" si="10"/>
        <v>336.86</v>
      </c>
      <c r="S50" s="50"/>
    </row>
    <row r="51" spans="2:19">
      <c r="B51" s="14" t="s">
        <v>15</v>
      </c>
      <c r="C51" s="18">
        <v>0</v>
      </c>
      <c r="D51" s="34">
        <v>0</v>
      </c>
      <c r="E51" s="195"/>
      <c r="F51" s="195"/>
      <c r="G51" s="75">
        <v>0</v>
      </c>
      <c r="H51" s="34">
        <v>0</v>
      </c>
      <c r="I51" s="46">
        <v>2</v>
      </c>
      <c r="J51" s="195"/>
      <c r="K51" s="195"/>
      <c r="L51" s="20">
        <v>861.66</v>
      </c>
      <c r="M51" s="23">
        <v>0</v>
      </c>
      <c r="N51" s="37">
        <v>0</v>
      </c>
      <c r="O51" s="156">
        <v>0</v>
      </c>
      <c r="P51" s="67">
        <f t="shared" si="9"/>
        <v>2</v>
      </c>
      <c r="Q51" s="61">
        <f t="shared" si="11"/>
        <v>861.66</v>
      </c>
      <c r="R51" s="50">
        <f t="shared" si="10"/>
        <v>430.83</v>
      </c>
      <c r="S51" s="50"/>
    </row>
    <row r="52" spans="2:19">
      <c r="B52" s="14" t="s">
        <v>16</v>
      </c>
      <c r="C52" s="18"/>
      <c r="D52" s="34"/>
      <c r="E52" s="195"/>
      <c r="F52" s="195"/>
      <c r="G52" s="75"/>
      <c r="H52" s="34"/>
      <c r="I52" s="46"/>
      <c r="J52" s="195"/>
      <c r="K52" s="195"/>
      <c r="L52" s="20"/>
      <c r="M52" s="23"/>
      <c r="N52" s="37"/>
      <c r="O52" s="156"/>
      <c r="P52" s="67">
        <f t="shared" si="9"/>
        <v>0</v>
      </c>
      <c r="Q52" s="61">
        <f t="shared" si="11"/>
        <v>0</v>
      </c>
      <c r="R52" s="50" t="e">
        <f t="shared" si="10"/>
        <v>#DIV/0!</v>
      </c>
      <c r="S52" s="50"/>
    </row>
    <row r="53" spans="2:19">
      <c r="B53" s="14" t="s">
        <v>17</v>
      </c>
      <c r="C53" s="18"/>
      <c r="D53" s="34"/>
      <c r="E53" s="195"/>
      <c r="F53" s="195"/>
      <c r="G53" s="75"/>
      <c r="H53" s="34"/>
      <c r="I53" s="46"/>
      <c r="J53" s="195"/>
      <c r="K53" s="195"/>
      <c r="L53" s="20"/>
      <c r="M53" s="23"/>
      <c r="N53" s="37"/>
      <c r="O53" s="156"/>
      <c r="P53" s="67">
        <f t="shared" si="9"/>
        <v>0</v>
      </c>
      <c r="Q53" s="61">
        <f t="shared" si="11"/>
        <v>0</v>
      </c>
      <c r="R53" s="50" t="e">
        <f t="shared" si="10"/>
        <v>#DIV/0!</v>
      </c>
      <c r="S53" s="50"/>
    </row>
    <row r="54" spans="2:19" ht="15.75" thickBot="1">
      <c r="B54" s="15" t="s">
        <v>18</v>
      </c>
      <c r="C54" s="25"/>
      <c r="D54" s="42"/>
      <c r="E54" s="196"/>
      <c r="F54" s="196"/>
      <c r="G54" s="42"/>
      <c r="H54" s="42"/>
      <c r="I54" s="47"/>
      <c r="J54" s="196"/>
      <c r="K54" s="196"/>
      <c r="L54" s="26"/>
      <c r="M54" s="27"/>
      <c r="N54" s="45"/>
      <c r="O54" s="56"/>
      <c r="P54" s="68">
        <f t="shared" si="9"/>
        <v>0</v>
      </c>
      <c r="Q54" s="63">
        <f t="shared" si="11"/>
        <v>0</v>
      </c>
      <c r="R54" s="50" t="e">
        <f t="shared" si="10"/>
        <v>#DIV/0!</v>
      </c>
      <c r="S54" s="50"/>
    </row>
    <row r="55" spans="2:19" ht="15.75" thickBot="1">
      <c r="C55" s="41">
        <f t="shared" ref="C55:N55" si="12">SUM(C43:C54)</f>
        <v>0</v>
      </c>
      <c r="D55" s="4">
        <f t="shared" si="12"/>
        <v>0</v>
      </c>
      <c r="E55" s="4"/>
      <c r="F55" s="4"/>
      <c r="G55" s="41">
        <f t="shared" si="12"/>
        <v>0</v>
      </c>
      <c r="H55" s="4">
        <f t="shared" si="12"/>
        <v>0</v>
      </c>
      <c r="I55" s="41">
        <f t="shared" si="12"/>
        <v>11</v>
      </c>
      <c r="J55" s="197"/>
      <c r="K55" s="197"/>
      <c r="L55" s="4">
        <f t="shared" si="12"/>
        <v>5305.9699999999993</v>
      </c>
      <c r="M55" s="11">
        <f>SUM(M43:M54)</f>
        <v>0</v>
      </c>
      <c r="N55" s="4">
        <f t="shared" si="12"/>
        <v>0</v>
      </c>
      <c r="O55" s="57"/>
      <c r="P55" s="69">
        <f>SUM(P43:P54)</f>
        <v>11</v>
      </c>
      <c r="Q55" s="70">
        <f>SUM(Q43:Q54)</f>
        <v>5305.9699999999993</v>
      </c>
      <c r="R55" s="50">
        <f t="shared" si="10"/>
        <v>482.36090909090905</v>
      </c>
      <c r="S55" s="9"/>
    </row>
    <row r="56" spans="2:19" ht="15.75" thickTop="1">
      <c r="D56" s="7"/>
      <c r="E56" s="7"/>
      <c r="F56" s="7"/>
      <c r="G56" s="8"/>
      <c r="H56" s="8"/>
      <c r="I56" s="8"/>
      <c r="J56" s="8"/>
      <c r="K56" s="8"/>
      <c r="L56" s="9"/>
      <c r="M56" s="9"/>
      <c r="N56" s="9"/>
      <c r="O56" s="9"/>
      <c r="P56" s="9"/>
      <c r="Q56" s="9"/>
      <c r="R56" s="9"/>
      <c r="S56" s="9"/>
    </row>
    <row r="57" spans="2:19">
      <c r="I57" s="54" t="s">
        <v>19</v>
      </c>
      <c r="J57" s="54"/>
      <c r="K57" s="54"/>
      <c r="L57" s="10">
        <f>(Q19/(COUNTA(C7:C18)))</f>
        <v>122831.77666666667</v>
      </c>
      <c r="M57" s="8" t="s">
        <v>0</v>
      </c>
      <c r="N57" s="9"/>
      <c r="O57" s="9"/>
    </row>
    <row r="58" spans="2:19">
      <c r="I58" s="54" t="s">
        <v>19</v>
      </c>
      <c r="J58" s="54"/>
      <c r="K58" s="54"/>
      <c r="L58" s="10">
        <f>(Q37/(COUNTA(C25:C36)))</f>
        <v>107075.07444444446</v>
      </c>
      <c r="M58" s="8" t="s">
        <v>31</v>
      </c>
      <c r="N58" s="9"/>
      <c r="O58" s="9"/>
    </row>
    <row r="59" spans="2:19" ht="15.75" thickBot="1">
      <c r="I59" s="54" t="s">
        <v>19</v>
      </c>
      <c r="J59" s="54"/>
      <c r="K59" s="54"/>
      <c r="L59" s="9">
        <f>Q55/(COUNTA(C43:C54))</f>
        <v>589.5522222222221</v>
      </c>
      <c r="M59" s="8" t="s">
        <v>33</v>
      </c>
      <c r="N59" s="9"/>
      <c r="O59" s="9"/>
    </row>
    <row r="60" spans="2:19" ht="15.75" thickBot="1">
      <c r="D60" s="7"/>
      <c r="E60" s="7"/>
      <c r="F60" s="7"/>
      <c r="G60" s="8"/>
      <c r="H60" s="8"/>
      <c r="I60" s="8"/>
      <c r="J60" s="8"/>
      <c r="K60" s="8"/>
      <c r="L60" s="9"/>
      <c r="M60" s="9"/>
      <c r="N60" s="9"/>
      <c r="O60" s="9"/>
      <c r="P60" s="254" t="s">
        <v>43</v>
      </c>
      <c r="Q60" s="255"/>
      <c r="R60" s="256"/>
      <c r="S60" s="9"/>
    </row>
    <row r="61" spans="2:19">
      <c r="D61" s="77" t="s">
        <v>20</v>
      </c>
      <c r="E61" s="77"/>
      <c r="F61" s="77"/>
      <c r="G61" s="77" t="s">
        <v>36</v>
      </c>
      <c r="H61" s="5"/>
      <c r="I61" s="77" t="s">
        <v>21</v>
      </c>
      <c r="J61" s="77"/>
      <c r="K61" s="77"/>
      <c r="L61" s="77" t="s">
        <v>32</v>
      </c>
      <c r="M61" s="77"/>
      <c r="N61" s="77" t="s">
        <v>22</v>
      </c>
      <c r="P61" s="86" t="s">
        <v>20</v>
      </c>
      <c r="Q61" s="77" t="s">
        <v>36</v>
      </c>
      <c r="R61" s="87" t="s">
        <v>32</v>
      </c>
      <c r="S61" s="77"/>
    </row>
    <row r="62" spans="2:19">
      <c r="B62" s="78" t="s">
        <v>37</v>
      </c>
      <c r="D62" s="79">
        <f>SUM(D19+I19)</f>
        <v>929828.29</v>
      </c>
      <c r="E62" s="79"/>
      <c r="F62" s="79"/>
      <c r="G62" s="79">
        <f>SUM(D37+I37)</f>
        <v>735490.23</v>
      </c>
      <c r="H62" s="79"/>
      <c r="I62" s="79">
        <f>D62+G62</f>
        <v>1665318.52</v>
      </c>
      <c r="J62" s="79"/>
      <c r="K62" s="79"/>
      <c r="L62" s="79">
        <f>D55+H55+N55</f>
        <v>0</v>
      </c>
      <c r="M62" s="79"/>
      <c r="N62" s="79">
        <f>SUM(I62:M62)</f>
        <v>1665318.52</v>
      </c>
      <c r="P62" s="88">
        <f>SUM(D62/N62)</f>
        <v>0.55834861549489045</v>
      </c>
      <c r="Q62" s="80">
        <f>SUM(G62/N62)</f>
        <v>0.44165138450510955</v>
      </c>
      <c r="R62" s="89">
        <f>L62/N62</f>
        <v>0</v>
      </c>
      <c r="S62" s="80"/>
    </row>
    <row r="63" spans="2:19">
      <c r="B63" s="81" t="s">
        <v>39</v>
      </c>
      <c r="D63" s="79">
        <f>SUM(I19:L19)</f>
        <v>8643.48</v>
      </c>
      <c r="E63" s="79"/>
      <c r="F63" s="79"/>
      <c r="G63" s="79">
        <f>SUM(I37:L37)</f>
        <v>69465.899999999994</v>
      </c>
      <c r="H63" s="79"/>
      <c r="I63" s="79">
        <f>D63+G63</f>
        <v>78109.37999999999</v>
      </c>
      <c r="J63" s="79"/>
      <c r="K63" s="79"/>
      <c r="L63" s="79"/>
      <c r="M63" s="79"/>
      <c r="N63" s="79">
        <f>SUM(I63:M63)</f>
        <v>78109.37999999999</v>
      </c>
      <c r="P63" s="88">
        <f t="shared" ref="P63:P64" si="13">SUM(D63/N63)</f>
        <v>0.11065866865157553</v>
      </c>
      <c r="Q63" s="80">
        <f t="shared" ref="Q63:Q64" si="14">SUM(G63/N63)</f>
        <v>0.88934133134842452</v>
      </c>
      <c r="R63" s="89">
        <f t="shared" ref="R63" si="15">L63/N63</f>
        <v>0</v>
      </c>
      <c r="S63" s="80"/>
    </row>
    <row r="64" spans="2:19" ht="15.75" thickBot="1">
      <c r="B64" s="81" t="s">
        <v>40</v>
      </c>
      <c r="D64" s="79">
        <f>G19+L19+N19</f>
        <v>9084</v>
      </c>
      <c r="E64" s="79"/>
      <c r="F64" s="79"/>
      <c r="G64" s="79">
        <f>G37+L37+N37</f>
        <v>2599.9</v>
      </c>
      <c r="H64" s="79"/>
      <c r="I64" s="79">
        <f>D64+G64</f>
        <v>11683.9</v>
      </c>
      <c r="J64" s="79"/>
      <c r="K64" s="79"/>
      <c r="L64" s="79">
        <f>L55</f>
        <v>5305.9699999999993</v>
      </c>
      <c r="M64" s="79"/>
      <c r="N64" s="79">
        <f>SUM(I64:M64)</f>
        <v>16989.87</v>
      </c>
      <c r="P64" s="90">
        <f t="shared" si="13"/>
        <v>0.53467154251327409</v>
      </c>
      <c r="Q64" s="91">
        <f t="shared" si="14"/>
        <v>0.15302647989655013</v>
      </c>
      <c r="R64" s="92">
        <f>L64/N64</f>
        <v>0.31230197759017575</v>
      </c>
      <c r="S64" s="80"/>
    </row>
    <row r="65" spans="2:19" ht="15.75" thickBot="1">
      <c r="B65" t="s">
        <v>42</v>
      </c>
      <c r="D65" s="79">
        <f>O19</f>
        <v>0</v>
      </c>
      <c r="E65" s="79"/>
      <c r="F65" s="79"/>
      <c r="G65" s="79">
        <f>O37</f>
        <v>44383.35</v>
      </c>
      <c r="H65" s="79"/>
      <c r="I65" s="79">
        <f>D65+G65</f>
        <v>44383.35</v>
      </c>
      <c r="J65" s="79"/>
      <c r="K65" s="79"/>
      <c r="L65" s="79"/>
      <c r="M65" s="79"/>
      <c r="N65" s="79">
        <f>SUM(I65:M65)</f>
        <v>44383.35</v>
      </c>
      <c r="P65" s="80"/>
      <c r="Q65" s="80"/>
      <c r="R65" s="80"/>
      <c r="S65" s="80"/>
    </row>
    <row r="66" spans="2:19" ht="15.75" thickBot="1">
      <c r="B66" s="82" t="s">
        <v>23</v>
      </c>
      <c r="C66" s="57"/>
      <c r="D66" s="83">
        <f>SUM(D62:D65)-I19</f>
        <v>941306.29</v>
      </c>
      <c r="E66" s="83"/>
      <c r="F66" s="83"/>
      <c r="G66" s="83">
        <f>SUM(G62:G65)-I37</f>
        <v>790397.38</v>
      </c>
      <c r="H66" s="83"/>
      <c r="I66" s="83">
        <f>SUM(I62:I65)-I63</f>
        <v>1721385.77</v>
      </c>
      <c r="J66" s="83"/>
      <c r="K66" s="83"/>
      <c r="L66" s="83">
        <f>SUM(L62:L65)</f>
        <v>5305.9699999999993</v>
      </c>
      <c r="M66" s="83"/>
      <c r="N66" s="83">
        <f>SUM(N62:N65)-N63</f>
        <v>1726691.7400000002</v>
      </c>
      <c r="O66" s="57"/>
      <c r="P66" s="84" t="s">
        <v>41</v>
      </c>
      <c r="Q66" s="84" t="s">
        <v>41</v>
      </c>
      <c r="R66" s="85"/>
      <c r="S66" s="85"/>
    </row>
    <row r="67" spans="2:19" ht="15.75" thickTop="1">
      <c r="L67" s="51"/>
    </row>
    <row r="68" spans="2:19">
      <c r="I68" s="51"/>
      <c r="J68" s="51"/>
      <c r="K68" s="51"/>
    </row>
    <row r="69" spans="2:19">
      <c r="L69" s="51"/>
    </row>
    <row r="71" spans="2:19">
      <c r="L71" s="51"/>
    </row>
  </sheetData>
  <mergeCells count="15">
    <mergeCell ref="C22:Q22"/>
    <mergeCell ref="C4:Q4"/>
    <mergeCell ref="C5:G5"/>
    <mergeCell ref="H5:L5"/>
    <mergeCell ref="M5:O5"/>
    <mergeCell ref="P5:Q5"/>
    <mergeCell ref="P60:R60"/>
    <mergeCell ref="C23:G23"/>
    <mergeCell ref="H23:L23"/>
    <mergeCell ref="M23:O23"/>
    <mergeCell ref="P23:Q23"/>
    <mergeCell ref="C40:Q40"/>
    <mergeCell ref="C41:L41"/>
    <mergeCell ref="M41:O41"/>
    <mergeCell ref="P41:Q4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F3E-7D06-4D0F-92F2-155C380FF653}">
  <sheetPr>
    <pageSetUpPr fitToPage="1"/>
  </sheetPr>
  <dimension ref="B1:S31"/>
  <sheetViews>
    <sheetView view="pageBreakPreview" zoomScale="110" zoomScaleNormal="100" zoomScaleSheetLayoutView="110" workbookViewId="0">
      <selection activeCell="F7" sqref="F7"/>
    </sheetView>
  </sheetViews>
  <sheetFormatPr defaultColWidth="8.85546875" defaultRowHeight="15"/>
  <cols>
    <col min="1" max="1" width="2" customWidth="1"/>
    <col min="2" max="2" width="11.7109375" customWidth="1"/>
    <col min="3" max="3" width="8.140625" customWidth="1"/>
    <col min="4" max="7" width="14.85546875" customWidth="1"/>
    <col min="8" max="8" width="11.85546875" customWidth="1"/>
    <col min="9" max="12" width="14.85546875" customWidth="1"/>
    <col min="13" max="13" width="8.140625" customWidth="1"/>
    <col min="14" max="15" width="14.85546875" customWidth="1"/>
    <col min="16" max="16" width="8.7109375" customWidth="1"/>
    <col min="17" max="17" width="16.7109375" customWidth="1"/>
    <col min="18" max="18" width="12.7109375" bestFit="1" customWidth="1"/>
    <col min="19" max="19" width="4.85546875" customWidth="1"/>
  </cols>
  <sheetData>
    <row r="1" spans="2:19" ht="15.75" thickBot="1"/>
    <row r="2" spans="2:19" ht="15.75" thickBot="1">
      <c r="C2" s="246" t="s">
        <v>30</v>
      </c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8"/>
      <c r="R2" s="48"/>
      <c r="S2" s="48"/>
    </row>
    <row r="3" spans="2:19" ht="15.75" thickBot="1">
      <c r="B3" s="187" t="s">
        <v>1331</v>
      </c>
      <c r="C3" s="249" t="s">
        <v>25</v>
      </c>
      <c r="D3" s="250"/>
      <c r="E3" s="250"/>
      <c r="F3" s="250"/>
      <c r="G3" s="251"/>
      <c r="H3" s="249" t="s">
        <v>27</v>
      </c>
      <c r="I3" s="250"/>
      <c r="J3" s="250"/>
      <c r="K3" s="250"/>
      <c r="L3" s="251"/>
      <c r="M3" s="246" t="s">
        <v>1</v>
      </c>
      <c r="N3" s="247"/>
      <c r="O3" s="247"/>
      <c r="P3" s="252" t="s">
        <v>29</v>
      </c>
      <c r="Q3" s="253"/>
    </row>
    <row r="4" spans="2:19" ht="15.75" thickBot="1">
      <c r="C4" s="30" t="s">
        <v>3</v>
      </c>
      <c r="D4" s="35" t="s">
        <v>48</v>
      </c>
      <c r="E4" s="33" t="s">
        <v>47</v>
      </c>
      <c r="F4" s="33" t="s">
        <v>726</v>
      </c>
      <c r="G4" s="32" t="s">
        <v>26</v>
      </c>
      <c r="H4" s="30" t="s">
        <v>28</v>
      </c>
      <c r="I4" s="35" t="s">
        <v>48</v>
      </c>
      <c r="J4" s="33" t="s">
        <v>47</v>
      </c>
      <c r="K4" s="142" t="s">
        <v>726</v>
      </c>
      <c r="L4" s="32" t="s">
        <v>26</v>
      </c>
      <c r="M4" s="30" t="s">
        <v>28</v>
      </c>
      <c r="N4" s="33" t="s">
        <v>4</v>
      </c>
      <c r="O4" s="31" t="s">
        <v>5</v>
      </c>
      <c r="P4" s="58" t="s">
        <v>28</v>
      </c>
      <c r="Q4" s="59" t="s">
        <v>29</v>
      </c>
      <c r="R4" s="16" t="s">
        <v>38</v>
      </c>
      <c r="S4" s="16"/>
    </row>
    <row r="5" spans="2:19">
      <c r="B5" s="165">
        <v>45231</v>
      </c>
      <c r="C5" s="191">
        <v>0</v>
      </c>
      <c r="D5" s="36">
        <v>0</v>
      </c>
      <c r="E5" s="36">
        <v>0</v>
      </c>
      <c r="F5" s="34">
        <v>0</v>
      </c>
      <c r="G5" s="19">
        <v>0</v>
      </c>
      <c r="H5" s="191">
        <v>1</v>
      </c>
      <c r="I5" s="36">
        <v>1084.9000000000001</v>
      </c>
      <c r="J5" s="34">
        <v>228</v>
      </c>
      <c r="K5" s="143">
        <v>0</v>
      </c>
      <c r="L5" s="22">
        <v>0</v>
      </c>
      <c r="M5" s="191">
        <v>1</v>
      </c>
      <c r="N5" s="39">
        <v>600</v>
      </c>
      <c r="O5" s="3">
        <v>0</v>
      </c>
      <c r="P5" s="60">
        <f t="shared" ref="P5:P6" si="0">SUM(C5+H5+M5)</f>
        <v>2</v>
      </c>
      <c r="Q5" s="61">
        <f t="shared" ref="Q5:Q6" si="1">SUM(D5+E5+F5+G5+I5+J5+K5+L5+N5+O5)</f>
        <v>1912.9</v>
      </c>
      <c r="R5" s="50">
        <f t="shared" ref="R5:R6" si="2">Q5/P5</f>
        <v>956.45</v>
      </c>
      <c r="S5" s="16"/>
    </row>
    <row r="6" spans="2:19">
      <c r="B6" s="161">
        <v>45261</v>
      </c>
      <c r="C6" s="191">
        <v>6</v>
      </c>
      <c r="D6" s="36">
        <v>72705.350000000006</v>
      </c>
      <c r="E6" s="36">
        <v>21240</v>
      </c>
      <c r="F6" s="34"/>
      <c r="G6" s="19"/>
      <c r="H6" s="191">
        <v>3</v>
      </c>
      <c r="I6" s="36">
        <v>5679.72</v>
      </c>
      <c r="J6" s="34">
        <v>816</v>
      </c>
      <c r="K6" s="143">
        <v>0</v>
      </c>
      <c r="L6" s="22">
        <v>0</v>
      </c>
      <c r="M6" s="191">
        <v>1</v>
      </c>
      <c r="N6" s="34">
        <v>900</v>
      </c>
      <c r="O6" s="19">
        <v>0</v>
      </c>
      <c r="P6" s="60">
        <f t="shared" si="0"/>
        <v>10</v>
      </c>
      <c r="Q6" s="61">
        <f t="shared" si="1"/>
        <v>101341.07</v>
      </c>
      <c r="R6" s="50">
        <f t="shared" si="2"/>
        <v>10134.107</v>
      </c>
      <c r="S6" s="16"/>
    </row>
    <row r="7" spans="2:19">
      <c r="B7" s="161">
        <v>45292</v>
      </c>
      <c r="C7" s="18">
        <v>7</v>
      </c>
      <c r="D7" s="36">
        <v>93567.099999999991</v>
      </c>
      <c r="E7" s="36">
        <v>30384</v>
      </c>
      <c r="F7" s="34"/>
      <c r="G7" s="19">
        <v>0</v>
      </c>
      <c r="H7" s="21">
        <v>5</v>
      </c>
      <c r="I7" s="36">
        <v>9659.41</v>
      </c>
      <c r="J7" s="34">
        <v>1248</v>
      </c>
      <c r="K7" s="143">
        <v>0</v>
      </c>
      <c r="L7" s="22">
        <v>0</v>
      </c>
      <c r="M7" s="21">
        <v>1</v>
      </c>
      <c r="N7" s="39">
        <v>1400</v>
      </c>
      <c r="O7" s="3">
        <v>0</v>
      </c>
      <c r="P7" s="60">
        <f>SUM(C7+H7+M7)</f>
        <v>13</v>
      </c>
      <c r="Q7" s="61">
        <f>SUM(D7+E7+F7+G7+I7+J7+K7+L7+N7+O7)</f>
        <v>136258.50999999998</v>
      </c>
      <c r="R7" s="50">
        <f>Q7/P7</f>
        <v>10481.423846153844</v>
      </c>
      <c r="S7" s="50"/>
    </row>
    <row r="8" spans="2:19">
      <c r="B8" s="161">
        <v>45323</v>
      </c>
      <c r="C8" s="18">
        <v>2</v>
      </c>
      <c r="D8" s="36">
        <v>52204.130000000005</v>
      </c>
      <c r="E8" s="36">
        <v>7488</v>
      </c>
      <c r="F8" s="34"/>
      <c r="G8" s="19">
        <v>0</v>
      </c>
      <c r="H8" s="21">
        <v>1</v>
      </c>
      <c r="I8" s="36">
        <v>2237.2199999999998</v>
      </c>
      <c r="J8" s="34">
        <v>240</v>
      </c>
      <c r="K8" s="143">
        <v>0</v>
      </c>
      <c r="L8" s="22">
        <v>0</v>
      </c>
      <c r="M8" s="21">
        <v>1</v>
      </c>
      <c r="N8" s="34">
        <v>0</v>
      </c>
      <c r="O8" s="19">
        <v>10870.95</v>
      </c>
      <c r="P8" s="60">
        <f t="shared" ref="P8:P9" si="3">SUM(C8+H8+M8)</f>
        <v>4</v>
      </c>
      <c r="Q8" s="61">
        <f t="shared" ref="Q8:Q9" si="4">SUM(D8+E8+F8+G8+I8+J8+K8+L8+N8+O8)</f>
        <v>73040.3</v>
      </c>
      <c r="R8" s="50">
        <f t="shared" ref="R8:R9" si="5">Q8/P8</f>
        <v>18260.075000000001</v>
      </c>
      <c r="S8" s="50"/>
    </row>
    <row r="9" spans="2:19" ht="15.75" thickBot="1">
      <c r="B9" s="190">
        <v>45352</v>
      </c>
      <c r="C9" s="25">
        <v>7</v>
      </c>
      <c r="D9" s="76">
        <v>82354.950000000012</v>
      </c>
      <c r="E9" s="76">
        <v>23040</v>
      </c>
      <c r="F9" s="42">
        <v>8699.6299999999992</v>
      </c>
      <c r="G9" s="167">
        <v>0</v>
      </c>
      <c r="H9" s="168">
        <v>4</v>
      </c>
      <c r="I9" s="76">
        <v>6231.13</v>
      </c>
      <c r="J9" s="42">
        <v>1266</v>
      </c>
      <c r="K9" s="141">
        <v>0</v>
      </c>
      <c r="L9" s="169">
        <v>2131.1</v>
      </c>
      <c r="M9" s="168">
        <v>2</v>
      </c>
      <c r="N9" s="42">
        <v>1344.1</v>
      </c>
      <c r="O9" s="170">
        <v>0</v>
      </c>
      <c r="P9" s="62">
        <f t="shared" si="3"/>
        <v>13</v>
      </c>
      <c r="Q9" s="63">
        <f t="shared" si="4"/>
        <v>125066.91000000003</v>
      </c>
      <c r="R9" s="50">
        <f t="shared" si="5"/>
        <v>9620.5315384615405</v>
      </c>
      <c r="S9" s="50"/>
    </row>
    <row r="10" spans="2:19" ht="15.75" thickBot="1">
      <c r="C10" s="41">
        <f>SUM(C5:C9)</f>
        <v>22</v>
      </c>
      <c r="D10" s="186">
        <f t="shared" ref="D10:P10" si="6">SUM(D5:D9)</f>
        <v>300831.53000000003</v>
      </c>
      <c r="E10" s="186">
        <f t="shared" si="6"/>
        <v>82152</v>
      </c>
      <c r="F10" s="186">
        <f t="shared" si="6"/>
        <v>8699.6299999999992</v>
      </c>
      <c r="G10" s="186">
        <f t="shared" si="6"/>
        <v>0</v>
      </c>
      <c r="H10" s="41">
        <f t="shared" si="6"/>
        <v>14</v>
      </c>
      <c r="I10" s="186">
        <f t="shared" si="6"/>
        <v>24892.38</v>
      </c>
      <c r="J10" s="186">
        <f t="shared" si="6"/>
        <v>3798</v>
      </c>
      <c r="K10" s="186">
        <f t="shared" si="6"/>
        <v>0</v>
      </c>
      <c r="L10" s="186">
        <f t="shared" si="6"/>
        <v>2131.1</v>
      </c>
      <c r="M10" s="41">
        <f t="shared" si="6"/>
        <v>6</v>
      </c>
      <c r="N10" s="186">
        <f t="shared" si="6"/>
        <v>4244.1000000000004</v>
      </c>
      <c r="O10" s="186">
        <f t="shared" si="6"/>
        <v>10870.95</v>
      </c>
      <c r="P10" s="184">
        <f t="shared" si="6"/>
        <v>42</v>
      </c>
      <c r="Q10" s="185">
        <f>SUM(Q5:Q9)</f>
        <v>437619.69</v>
      </c>
    </row>
    <row r="11" spans="2:19" ht="15.75" thickTop="1">
      <c r="C11" s="52"/>
      <c r="D11" s="188"/>
      <c r="E11" s="188"/>
      <c r="F11" s="188"/>
      <c r="G11" s="188"/>
      <c r="H11" s="52"/>
      <c r="I11" s="188"/>
      <c r="J11" s="188"/>
      <c r="K11" s="188"/>
      <c r="L11" s="188"/>
      <c r="M11" s="52"/>
      <c r="N11" s="188"/>
      <c r="O11" s="188"/>
      <c r="P11" s="189"/>
      <c r="Q11" s="8"/>
    </row>
    <row r="12" spans="2:19">
      <c r="C12" s="52"/>
      <c r="D12" s="188"/>
      <c r="E12" s="188"/>
      <c r="F12" s="188"/>
      <c r="G12" s="188"/>
      <c r="H12" s="52"/>
      <c r="I12" s="188"/>
      <c r="J12" s="188"/>
      <c r="K12" s="188"/>
      <c r="L12" s="188"/>
      <c r="M12" s="52"/>
      <c r="N12" s="188"/>
      <c r="O12" s="188"/>
      <c r="P12" s="189"/>
      <c r="Q12" s="8"/>
    </row>
    <row r="14" spans="2:19" ht="15.75" thickBot="1"/>
    <row r="15" spans="2:19" ht="16.5" thickTop="1" thickBot="1">
      <c r="C15" s="246" t="s">
        <v>30</v>
      </c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8"/>
      <c r="R15" s="48"/>
      <c r="S15" s="48"/>
    </row>
    <row r="16" spans="2:19" ht="15.75" thickBot="1">
      <c r="B16" s="187" t="s">
        <v>1332</v>
      </c>
      <c r="C16" s="249" t="s">
        <v>25</v>
      </c>
      <c r="D16" s="250"/>
      <c r="E16" s="250"/>
      <c r="F16" s="250"/>
      <c r="G16" s="251"/>
      <c r="H16" s="249" t="s">
        <v>27</v>
      </c>
      <c r="I16" s="250"/>
      <c r="J16" s="250"/>
      <c r="K16" s="250"/>
      <c r="L16" s="251"/>
      <c r="M16" s="246" t="s">
        <v>1</v>
      </c>
      <c r="N16" s="247"/>
      <c r="O16" s="247"/>
      <c r="P16" s="252" t="s">
        <v>29</v>
      </c>
      <c r="Q16" s="253"/>
    </row>
    <row r="17" spans="2:19" ht="15.75" thickBot="1">
      <c r="B17" s="163"/>
      <c r="C17" s="30" t="s">
        <v>3</v>
      </c>
      <c r="D17" s="35" t="s">
        <v>48</v>
      </c>
      <c r="E17" s="33" t="s">
        <v>47</v>
      </c>
      <c r="F17" s="33" t="s">
        <v>726</v>
      </c>
      <c r="G17" s="32" t="s">
        <v>26</v>
      </c>
      <c r="H17" s="30" t="s">
        <v>28</v>
      </c>
      <c r="I17" s="35" t="s">
        <v>48</v>
      </c>
      <c r="J17" s="33" t="s">
        <v>47</v>
      </c>
      <c r="K17" s="142" t="s">
        <v>726</v>
      </c>
      <c r="L17" s="32" t="s">
        <v>26</v>
      </c>
      <c r="M17" s="30" t="s">
        <v>28</v>
      </c>
      <c r="N17" s="33" t="s">
        <v>4</v>
      </c>
      <c r="O17" s="31" t="s">
        <v>5</v>
      </c>
      <c r="P17" s="58" t="s">
        <v>28</v>
      </c>
      <c r="Q17" s="59" t="s">
        <v>29</v>
      </c>
      <c r="R17" s="16" t="s">
        <v>38</v>
      </c>
      <c r="S17" s="16"/>
    </row>
    <row r="18" spans="2:19">
      <c r="B18" s="162">
        <v>45383</v>
      </c>
      <c r="C18" s="18">
        <v>7</v>
      </c>
      <c r="D18" s="36">
        <v>82116.349999999991</v>
      </c>
      <c r="E18" s="36">
        <v>22728</v>
      </c>
      <c r="F18" s="34">
        <v>10184.709999999999</v>
      </c>
      <c r="G18" s="19">
        <v>0</v>
      </c>
      <c r="H18" s="21">
        <v>6</v>
      </c>
      <c r="I18" s="36">
        <v>11876.130000000001</v>
      </c>
      <c r="J18" s="34">
        <v>1428</v>
      </c>
      <c r="K18" s="143">
        <v>0</v>
      </c>
      <c r="L18" s="22">
        <v>0</v>
      </c>
      <c r="M18" s="21">
        <v>4</v>
      </c>
      <c r="N18" s="34">
        <v>0</v>
      </c>
      <c r="O18" s="7">
        <v>1130</v>
      </c>
      <c r="P18" s="60">
        <f t="shared" ref="P18:P26" si="7">SUM(C18+H18+M18)</f>
        <v>17</v>
      </c>
      <c r="Q18" s="61">
        <f t="shared" ref="Q18:Q26" si="8">SUM(D18+E18+F18+G18+I18+J18+K18+L18+N18+O18)</f>
        <v>129463.19</v>
      </c>
      <c r="R18" s="50">
        <f t="shared" ref="R18:R30" si="9">Q18/P18</f>
        <v>7615.4817647058826</v>
      </c>
      <c r="S18" s="50"/>
    </row>
    <row r="19" spans="2:19">
      <c r="B19" s="161">
        <v>45413</v>
      </c>
      <c r="C19" s="18">
        <v>10</v>
      </c>
      <c r="D19" s="36">
        <v>83909.6</v>
      </c>
      <c r="E19" s="36">
        <v>26700</v>
      </c>
      <c r="F19" s="34">
        <v>712.5</v>
      </c>
      <c r="G19" s="19">
        <v>0</v>
      </c>
      <c r="H19" s="21">
        <v>3</v>
      </c>
      <c r="I19" s="36">
        <v>4617.8899999999994</v>
      </c>
      <c r="J19" s="34">
        <v>720</v>
      </c>
      <c r="K19" s="143">
        <v>0</v>
      </c>
      <c r="L19" s="22">
        <v>0</v>
      </c>
      <c r="M19" s="21">
        <v>6</v>
      </c>
      <c r="N19" s="34">
        <v>0</v>
      </c>
      <c r="O19" s="7">
        <v>2705.85</v>
      </c>
      <c r="P19" s="60">
        <f t="shared" si="7"/>
        <v>19</v>
      </c>
      <c r="Q19" s="61">
        <f t="shared" si="8"/>
        <v>119365.84000000001</v>
      </c>
      <c r="R19" s="50">
        <f t="shared" si="9"/>
        <v>6282.4126315789481</v>
      </c>
      <c r="S19" s="50"/>
    </row>
    <row r="20" spans="2:19">
      <c r="B20" s="161">
        <v>45444</v>
      </c>
      <c r="C20" s="18">
        <v>5</v>
      </c>
      <c r="D20" s="36">
        <v>66073.510000000009</v>
      </c>
      <c r="E20" s="36">
        <v>18072</v>
      </c>
      <c r="F20" s="34">
        <v>0</v>
      </c>
      <c r="G20" s="19">
        <v>1528.86</v>
      </c>
      <c r="H20" s="23">
        <v>5</v>
      </c>
      <c r="I20" s="37">
        <v>8742.65</v>
      </c>
      <c r="J20" s="38">
        <v>1164</v>
      </c>
      <c r="K20" s="144">
        <v>0</v>
      </c>
      <c r="L20" s="22">
        <v>0</v>
      </c>
      <c r="M20" s="23">
        <v>0</v>
      </c>
      <c r="N20" s="38">
        <v>0</v>
      </c>
      <c r="O20" s="12">
        <v>0</v>
      </c>
      <c r="P20" s="60">
        <f t="shared" si="7"/>
        <v>10</v>
      </c>
      <c r="Q20" s="61">
        <f t="shared" si="8"/>
        <v>95581.02</v>
      </c>
      <c r="R20" s="50">
        <f t="shared" si="9"/>
        <v>9558.1020000000008</v>
      </c>
      <c r="S20" s="50"/>
    </row>
    <row r="21" spans="2:19">
      <c r="B21" s="161">
        <v>45474</v>
      </c>
      <c r="C21" s="18">
        <v>9</v>
      </c>
      <c r="D21" s="36">
        <v>162237.65</v>
      </c>
      <c r="E21" s="36">
        <v>41439</v>
      </c>
      <c r="F21" s="34">
        <v>6368.37</v>
      </c>
      <c r="G21" s="19">
        <v>0</v>
      </c>
      <c r="H21" s="23">
        <v>5</v>
      </c>
      <c r="I21" s="37">
        <v>6771.83</v>
      </c>
      <c r="J21" s="38">
        <v>912</v>
      </c>
      <c r="K21" s="144">
        <v>0</v>
      </c>
      <c r="L21" s="22">
        <v>0</v>
      </c>
      <c r="M21" s="23">
        <v>0</v>
      </c>
      <c r="N21" s="38">
        <v>0</v>
      </c>
      <c r="O21" s="12">
        <v>0</v>
      </c>
      <c r="P21" s="60">
        <f t="shared" si="7"/>
        <v>14</v>
      </c>
      <c r="Q21" s="61">
        <f t="shared" si="8"/>
        <v>217728.84999999998</v>
      </c>
      <c r="R21" s="50">
        <f t="shared" si="9"/>
        <v>15552.060714285713</v>
      </c>
      <c r="S21" s="50"/>
    </row>
    <row r="22" spans="2:19">
      <c r="B22" s="161">
        <v>45505</v>
      </c>
      <c r="C22" s="18">
        <v>10</v>
      </c>
      <c r="D22" s="36">
        <v>72365.72</v>
      </c>
      <c r="E22" s="36">
        <v>33528</v>
      </c>
      <c r="F22" s="34">
        <v>5076.2700000000004</v>
      </c>
      <c r="G22" s="19">
        <v>0</v>
      </c>
      <c r="H22" s="23">
        <v>3</v>
      </c>
      <c r="I22" s="37">
        <v>7186.7800000000007</v>
      </c>
      <c r="J22" s="38">
        <v>792</v>
      </c>
      <c r="K22" s="144">
        <v>0</v>
      </c>
      <c r="L22" s="22">
        <v>0</v>
      </c>
      <c r="M22" s="23">
        <v>4</v>
      </c>
      <c r="N22" s="38">
        <v>300</v>
      </c>
      <c r="O22" s="12">
        <v>6811.39</v>
      </c>
      <c r="P22" s="60">
        <f t="shared" si="7"/>
        <v>17</v>
      </c>
      <c r="Q22" s="61">
        <f t="shared" si="8"/>
        <v>126060.16</v>
      </c>
      <c r="R22" s="50">
        <f t="shared" si="9"/>
        <v>7415.3035294117653</v>
      </c>
      <c r="S22" s="50"/>
    </row>
    <row r="23" spans="2:19">
      <c r="B23" s="161">
        <v>45536</v>
      </c>
      <c r="C23" s="18">
        <v>5</v>
      </c>
      <c r="D23" s="36">
        <v>56523.05</v>
      </c>
      <c r="E23" s="36">
        <v>24036</v>
      </c>
      <c r="F23" s="34">
        <v>0</v>
      </c>
      <c r="G23" s="19">
        <v>0</v>
      </c>
      <c r="H23" s="23">
        <v>5</v>
      </c>
      <c r="I23" s="37">
        <v>10975.58</v>
      </c>
      <c r="J23" s="38">
        <v>1320</v>
      </c>
      <c r="K23" s="144">
        <v>0</v>
      </c>
      <c r="L23" s="22">
        <v>0</v>
      </c>
      <c r="M23" s="23">
        <v>4</v>
      </c>
      <c r="N23" s="38">
        <v>2102.1</v>
      </c>
      <c r="O23" s="12">
        <v>930</v>
      </c>
      <c r="P23" s="60">
        <f t="shared" si="7"/>
        <v>14</v>
      </c>
      <c r="Q23" s="61">
        <f t="shared" si="8"/>
        <v>95886.73000000001</v>
      </c>
      <c r="R23" s="50">
        <f t="shared" si="9"/>
        <v>6849.0521428571437</v>
      </c>
      <c r="S23" s="50"/>
    </row>
    <row r="24" spans="2:19">
      <c r="B24" s="161">
        <v>45566</v>
      </c>
      <c r="C24" s="18">
        <v>8</v>
      </c>
      <c r="D24" s="36">
        <v>166938.41</v>
      </c>
      <c r="E24" s="36">
        <v>28158</v>
      </c>
      <c r="F24" s="34">
        <v>2907</v>
      </c>
      <c r="G24" s="19">
        <v>0</v>
      </c>
      <c r="H24" s="23">
        <v>7</v>
      </c>
      <c r="I24" s="37">
        <v>14217.340000000002</v>
      </c>
      <c r="J24" s="38">
        <v>1860</v>
      </c>
      <c r="K24" s="144">
        <v>0</v>
      </c>
      <c r="L24" s="22">
        <v>0</v>
      </c>
      <c r="M24" s="23">
        <v>3</v>
      </c>
      <c r="N24" s="38">
        <v>7884.81</v>
      </c>
      <c r="O24" s="12">
        <v>1961</v>
      </c>
      <c r="P24" s="60">
        <f t="shared" si="7"/>
        <v>18</v>
      </c>
      <c r="Q24" s="61">
        <f t="shared" si="8"/>
        <v>223926.56</v>
      </c>
      <c r="R24" s="50">
        <f t="shared" si="9"/>
        <v>12440.364444444444</v>
      </c>
      <c r="S24" s="50"/>
    </row>
    <row r="25" spans="2:19">
      <c r="B25" s="161">
        <v>45597</v>
      </c>
      <c r="C25" s="18">
        <v>9</v>
      </c>
      <c r="D25" s="36">
        <v>68433.450000000012</v>
      </c>
      <c r="E25" s="36">
        <v>17389</v>
      </c>
      <c r="F25" s="34">
        <v>4421.28</v>
      </c>
      <c r="G25" s="19">
        <v>0</v>
      </c>
      <c r="H25" s="23">
        <v>4</v>
      </c>
      <c r="I25" s="37">
        <v>8353.5400000000009</v>
      </c>
      <c r="J25" s="38">
        <v>1032</v>
      </c>
      <c r="K25" s="144">
        <v>0</v>
      </c>
      <c r="L25" s="22">
        <v>0</v>
      </c>
      <c r="M25" s="23">
        <v>0</v>
      </c>
      <c r="N25" s="38">
        <v>0</v>
      </c>
      <c r="O25" s="12">
        <v>0</v>
      </c>
      <c r="P25" s="60">
        <f t="shared" si="7"/>
        <v>13</v>
      </c>
      <c r="Q25" s="61">
        <f t="shared" si="8"/>
        <v>99629.270000000019</v>
      </c>
      <c r="R25" s="50">
        <f t="shared" si="9"/>
        <v>7663.7900000000018</v>
      </c>
      <c r="S25" s="50"/>
    </row>
    <row r="26" spans="2:19">
      <c r="B26" s="171">
        <v>45627</v>
      </c>
      <c r="C26" s="18">
        <v>2</v>
      </c>
      <c r="D26" s="36">
        <v>59314.97</v>
      </c>
      <c r="E26" s="34">
        <v>7476</v>
      </c>
      <c r="F26" s="34">
        <v>1320.5</v>
      </c>
      <c r="G26" s="173">
        <v>0</v>
      </c>
      <c r="H26" s="23">
        <v>7</v>
      </c>
      <c r="I26" s="37">
        <v>11923.41</v>
      </c>
      <c r="J26" s="38">
        <v>1776</v>
      </c>
      <c r="K26" s="144">
        <v>951.48</v>
      </c>
      <c r="L26" s="24">
        <v>0</v>
      </c>
      <c r="M26" s="23">
        <v>0</v>
      </c>
      <c r="N26" s="176">
        <v>0</v>
      </c>
      <c r="O26" s="164">
        <v>0</v>
      </c>
      <c r="P26" s="60">
        <f t="shared" si="7"/>
        <v>9</v>
      </c>
      <c r="Q26" s="61">
        <f t="shared" si="8"/>
        <v>82762.36</v>
      </c>
      <c r="R26" s="50">
        <f t="shared" si="9"/>
        <v>9195.8177777777782</v>
      </c>
      <c r="S26" s="50"/>
    </row>
    <row r="27" spans="2:19">
      <c r="B27" s="172">
        <v>45658</v>
      </c>
      <c r="C27" s="46">
        <v>10</v>
      </c>
      <c r="D27" s="36">
        <v>98603.04</v>
      </c>
      <c r="E27" s="36">
        <v>36816</v>
      </c>
      <c r="F27" s="34">
        <v>0</v>
      </c>
      <c r="G27" s="19">
        <v>515</v>
      </c>
      <c r="H27" s="174">
        <v>2</v>
      </c>
      <c r="I27" s="34">
        <v>4181.87</v>
      </c>
      <c r="J27" s="34">
        <v>528</v>
      </c>
      <c r="K27" s="34">
        <v>0</v>
      </c>
      <c r="L27" s="175">
        <v>0</v>
      </c>
      <c r="M27" s="174">
        <v>1</v>
      </c>
      <c r="N27" s="39">
        <v>0</v>
      </c>
      <c r="O27" s="175">
        <v>115</v>
      </c>
      <c r="P27" s="60">
        <f>SUM(C27+H27+M27)</f>
        <v>13</v>
      </c>
      <c r="Q27" s="61">
        <f>D27+E27+F27+G27+I27+J27+K27+L27+N27+O27</f>
        <v>140758.90999999997</v>
      </c>
      <c r="R27" s="50">
        <f>Q27/P27</f>
        <v>10827.608461538459</v>
      </c>
      <c r="S27" s="50"/>
    </row>
    <row r="28" spans="2:19">
      <c r="B28" s="161">
        <v>45689</v>
      </c>
      <c r="C28" s="18">
        <v>8</v>
      </c>
      <c r="D28" s="36">
        <v>88403.77</v>
      </c>
      <c r="E28" s="36">
        <v>27570</v>
      </c>
      <c r="F28" s="34">
        <v>0</v>
      </c>
      <c r="G28" s="19">
        <v>0</v>
      </c>
      <c r="H28" s="21">
        <v>4</v>
      </c>
      <c r="I28" s="36">
        <v>7232.75</v>
      </c>
      <c r="J28" s="36">
        <v>1068</v>
      </c>
      <c r="K28" s="34">
        <v>0</v>
      </c>
      <c r="L28" s="22">
        <v>350</v>
      </c>
      <c r="M28" s="21">
        <v>1</v>
      </c>
      <c r="N28" s="34">
        <v>1603.8</v>
      </c>
      <c r="O28" s="19">
        <v>0</v>
      </c>
      <c r="P28" s="60">
        <f t="shared" ref="P28:P29" si="10">SUM(C28+H28+M28)</f>
        <v>13</v>
      </c>
      <c r="Q28" s="61">
        <f t="shared" ref="Q28:Q29" si="11">D28+E28+F28+G28+I28+J28+K28+L28+N28+O28</f>
        <v>126228.32</v>
      </c>
      <c r="R28" s="50">
        <f t="shared" ref="R28:R29" si="12">Q28/P28</f>
        <v>9709.8707692307689</v>
      </c>
      <c r="S28" s="50"/>
    </row>
    <row r="29" spans="2:19" ht="15.75" thickBot="1">
      <c r="B29" s="166">
        <v>45717</v>
      </c>
      <c r="C29" s="25">
        <v>9</v>
      </c>
      <c r="D29" s="76">
        <v>78790.87</v>
      </c>
      <c r="E29" s="76">
        <v>26745.599999999999</v>
      </c>
      <c r="F29" s="42">
        <v>1977.05</v>
      </c>
      <c r="G29" s="167">
        <v>0</v>
      </c>
      <c r="H29" s="168">
        <v>6</v>
      </c>
      <c r="I29" s="76">
        <v>14086.820000000002</v>
      </c>
      <c r="J29" s="76">
        <v>1476</v>
      </c>
      <c r="K29" s="42">
        <v>1027.98</v>
      </c>
      <c r="L29" s="169">
        <v>0</v>
      </c>
      <c r="M29" s="168">
        <v>1</v>
      </c>
      <c r="N29" s="42">
        <v>1242.2</v>
      </c>
      <c r="O29" s="170">
        <v>0</v>
      </c>
      <c r="P29" s="62">
        <f t="shared" si="10"/>
        <v>16</v>
      </c>
      <c r="Q29" s="63">
        <f t="shared" si="11"/>
        <v>125346.52</v>
      </c>
      <c r="R29" s="50">
        <f t="shared" si="12"/>
        <v>7834.1575000000003</v>
      </c>
      <c r="S29" s="50"/>
    </row>
    <row r="30" spans="2:19" ht="15.75" thickBot="1">
      <c r="C30" s="41">
        <f>SUM(C18:C29)</f>
        <v>92</v>
      </c>
      <c r="D30" s="4">
        <f t="shared" ref="D30:O30" si="13">SUM(D18:D29)</f>
        <v>1083710.3900000001</v>
      </c>
      <c r="E30" s="4">
        <f t="shared" si="13"/>
        <v>310657.59999999998</v>
      </c>
      <c r="F30" s="4">
        <f t="shared" si="13"/>
        <v>32967.68</v>
      </c>
      <c r="G30" s="4">
        <f t="shared" si="13"/>
        <v>2043.86</v>
      </c>
      <c r="H30" s="11">
        <f t="shared" si="13"/>
        <v>57</v>
      </c>
      <c r="I30" s="4">
        <f t="shared" si="13"/>
        <v>110166.59000000001</v>
      </c>
      <c r="J30" s="4">
        <f t="shared" si="13"/>
        <v>14076</v>
      </c>
      <c r="K30" s="4">
        <f t="shared" si="13"/>
        <v>1979.46</v>
      </c>
      <c r="L30" s="4">
        <f t="shared" si="13"/>
        <v>350</v>
      </c>
      <c r="M30" s="11">
        <f t="shared" si="13"/>
        <v>24</v>
      </c>
      <c r="N30" s="4">
        <f t="shared" si="13"/>
        <v>13132.91</v>
      </c>
      <c r="O30" s="4">
        <f t="shared" si="13"/>
        <v>13653.24</v>
      </c>
      <c r="P30" s="177">
        <f>SUM(P18:P29)</f>
        <v>173</v>
      </c>
      <c r="Q30" s="65">
        <f>SUM(Q18:Q29)</f>
        <v>1582737.7300000002</v>
      </c>
      <c r="R30" s="50">
        <f t="shared" si="9"/>
        <v>9148.7730057803474</v>
      </c>
      <c r="S30" s="50"/>
    </row>
    <row r="31" spans="2:19" ht="15.75" thickTop="1"/>
  </sheetData>
  <mergeCells count="10">
    <mergeCell ref="C2:Q2"/>
    <mergeCell ref="C3:G3"/>
    <mergeCell ref="H3:L3"/>
    <mergeCell ref="M3:O3"/>
    <mergeCell ref="P3:Q3"/>
    <mergeCell ref="C15:Q15"/>
    <mergeCell ref="C16:G16"/>
    <mergeCell ref="H16:L16"/>
    <mergeCell ref="M16:O16"/>
    <mergeCell ref="P16:Q16"/>
  </mergeCells>
  <pageMargins left="0.2" right="0.2" top="0.75" bottom="0.75" header="0.3" footer="0.3"/>
  <pageSetup paperSize="9" scale="62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1C805-6A61-4BFD-B158-18BEA8A04115}">
  <dimension ref="A1:L95"/>
  <sheetViews>
    <sheetView zoomScale="110" zoomScaleNormal="110" workbookViewId="0">
      <selection activeCell="D93" sqref="D93"/>
    </sheetView>
  </sheetViews>
  <sheetFormatPr defaultRowHeight="15"/>
  <cols>
    <col min="1" max="1" width="13.28515625" bestFit="1" customWidth="1"/>
    <col min="2" max="2" width="13.28515625" customWidth="1"/>
    <col min="3" max="3" width="11.140625" style="105" customWidth="1"/>
    <col min="4" max="4" width="23" customWidth="1"/>
    <col min="5" max="5" width="9.42578125" bestFit="1" customWidth="1"/>
    <col min="6" max="6" width="15" bestFit="1" customWidth="1"/>
    <col min="7" max="7" width="11" style="50" bestFit="1" customWidth="1"/>
    <col min="8" max="8" width="16.7109375" style="50" customWidth="1"/>
    <col min="9" max="9" width="17.5703125" style="50" customWidth="1"/>
    <col min="10" max="10" width="11" style="50" customWidth="1"/>
    <col min="11" max="11" width="12.5703125" style="50" bestFit="1" customWidth="1"/>
  </cols>
  <sheetData>
    <row r="1" spans="1:12">
      <c r="A1" t="s">
        <v>229</v>
      </c>
      <c r="B1" s="146" t="s">
        <v>856</v>
      </c>
      <c r="C1" s="105" t="s">
        <v>228</v>
      </c>
      <c r="D1" t="s">
        <v>227</v>
      </c>
      <c r="E1" t="s">
        <v>226</v>
      </c>
      <c r="F1" t="s">
        <v>225</v>
      </c>
      <c r="G1" s="50" t="s">
        <v>224</v>
      </c>
      <c r="H1" s="50" t="s">
        <v>223</v>
      </c>
      <c r="I1" s="50" t="s">
        <v>222</v>
      </c>
      <c r="J1" s="50" t="s">
        <v>1644</v>
      </c>
      <c r="K1" s="50" t="s">
        <v>29</v>
      </c>
      <c r="L1" s="146" t="s">
        <v>725</v>
      </c>
    </row>
    <row r="2" spans="1:12">
      <c r="A2" t="s">
        <v>1117</v>
      </c>
      <c r="B2" s="146" t="s">
        <v>728</v>
      </c>
      <c r="C2" s="105">
        <v>45661</v>
      </c>
      <c r="D2" t="s">
        <v>51</v>
      </c>
      <c r="E2" t="s">
        <v>930</v>
      </c>
      <c r="F2" t="s">
        <v>1118</v>
      </c>
      <c r="G2" s="50">
        <v>13107.13</v>
      </c>
      <c r="H2" s="50">
        <v>3960</v>
      </c>
      <c r="I2" s="50">
        <v>17067.13</v>
      </c>
      <c r="J2" s="150">
        <v>0</v>
      </c>
      <c r="K2" s="50">
        <v>17067.13</v>
      </c>
      <c r="L2" s="146" t="s">
        <v>230</v>
      </c>
    </row>
    <row r="3" spans="1:12">
      <c r="A3" t="s">
        <v>1119</v>
      </c>
      <c r="B3" s="146" t="s">
        <v>728</v>
      </c>
      <c r="C3" s="105">
        <v>45675</v>
      </c>
      <c r="D3" t="s">
        <v>51</v>
      </c>
      <c r="E3" t="s">
        <v>1120</v>
      </c>
      <c r="F3" t="s">
        <v>1121</v>
      </c>
      <c r="G3" s="50">
        <v>49101.56</v>
      </c>
      <c r="H3" s="50">
        <v>15900</v>
      </c>
      <c r="I3" s="50">
        <v>65001.56</v>
      </c>
      <c r="J3" s="150">
        <v>0</v>
      </c>
      <c r="K3" s="50">
        <v>65001.56</v>
      </c>
      <c r="L3" s="146" t="s">
        <v>230</v>
      </c>
    </row>
    <row r="4" spans="1:12">
      <c r="A4" t="s">
        <v>1122</v>
      </c>
      <c r="B4" s="146" t="s">
        <v>728</v>
      </c>
      <c r="C4" s="105">
        <v>45678</v>
      </c>
      <c r="D4" t="s">
        <v>51</v>
      </c>
      <c r="E4" t="s">
        <v>1123</v>
      </c>
      <c r="F4" t="s">
        <v>1124</v>
      </c>
      <c r="G4" s="50">
        <v>908.52</v>
      </c>
      <c r="H4" s="50">
        <v>480</v>
      </c>
      <c r="I4" s="50">
        <v>1388.52</v>
      </c>
      <c r="J4" s="150">
        <v>0</v>
      </c>
      <c r="K4" s="50">
        <v>1388.52</v>
      </c>
      <c r="L4" s="146" t="s">
        <v>231</v>
      </c>
    </row>
    <row r="5" spans="1:12">
      <c r="A5" t="s">
        <v>1125</v>
      </c>
      <c r="B5" s="146" t="s">
        <v>729</v>
      </c>
      <c r="C5" s="105">
        <v>45692</v>
      </c>
      <c r="D5" t="s">
        <v>51</v>
      </c>
      <c r="E5" t="s">
        <v>1126</v>
      </c>
      <c r="F5" t="s">
        <v>1127</v>
      </c>
      <c r="G5" s="50">
        <v>18369.73</v>
      </c>
      <c r="H5" s="50">
        <v>3024</v>
      </c>
      <c r="I5" s="50">
        <v>21393.73</v>
      </c>
      <c r="J5" s="150">
        <v>0</v>
      </c>
      <c r="K5" s="50">
        <v>21393.73</v>
      </c>
      <c r="L5" s="146" t="s">
        <v>230</v>
      </c>
    </row>
    <row r="6" spans="1:12">
      <c r="A6" t="s">
        <v>1128</v>
      </c>
      <c r="B6" s="146" t="s">
        <v>729</v>
      </c>
      <c r="C6" s="105">
        <v>45693</v>
      </c>
      <c r="D6" t="s">
        <v>51</v>
      </c>
      <c r="E6" t="s">
        <v>1129</v>
      </c>
      <c r="F6" t="s">
        <v>1130</v>
      </c>
      <c r="G6" s="50">
        <v>3354.59</v>
      </c>
      <c r="H6" s="50">
        <v>1308</v>
      </c>
      <c r="I6" s="50">
        <v>4662.59</v>
      </c>
      <c r="J6" s="150">
        <v>0</v>
      </c>
      <c r="K6" s="50">
        <v>4662.59</v>
      </c>
      <c r="L6" s="146" t="s">
        <v>230</v>
      </c>
    </row>
    <row r="7" spans="1:12">
      <c r="A7" t="s">
        <v>1131</v>
      </c>
      <c r="B7" s="146" t="s">
        <v>729</v>
      </c>
      <c r="C7" s="105">
        <v>45701</v>
      </c>
      <c r="D7" t="s">
        <v>51</v>
      </c>
      <c r="E7" t="s">
        <v>182</v>
      </c>
      <c r="F7" t="s">
        <v>1132</v>
      </c>
      <c r="G7" s="50">
        <v>973.08</v>
      </c>
      <c r="H7" s="50">
        <v>420</v>
      </c>
      <c r="I7" s="50">
        <v>1393.08</v>
      </c>
      <c r="J7" s="150">
        <v>0</v>
      </c>
      <c r="K7" s="50">
        <v>1393.08</v>
      </c>
      <c r="L7" s="146" t="s">
        <v>231</v>
      </c>
    </row>
    <row r="8" spans="1:12">
      <c r="A8" t="s">
        <v>1133</v>
      </c>
      <c r="B8" s="146" t="s">
        <v>729</v>
      </c>
      <c r="C8" s="105">
        <v>45703</v>
      </c>
      <c r="D8" t="s">
        <v>51</v>
      </c>
      <c r="E8" t="s">
        <v>1134</v>
      </c>
      <c r="F8" t="s">
        <v>1135</v>
      </c>
      <c r="G8" s="50">
        <v>40851.620000000003</v>
      </c>
      <c r="H8" s="50">
        <v>2760</v>
      </c>
      <c r="I8" s="50">
        <v>43611.62</v>
      </c>
      <c r="J8" s="150">
        <v>0</v>
      </c>
      <c r="K8" s="50">
        <v>43611.62</v>
      </c>
      <c r="L8" s="146" t="s">
        <v>230</v>
      </c>
    </row>
    <row r="9" spans="1:12">
      <c r="A9" t="s">
        <v>1136</v>
      </c>
      <c r="B9" s="146" t="s">
        <v>729</v>
      </c>
      <c r="C9" s="105">
        <v>45705</v>
      </c>
      <c r="D9" t="s">
        <v>51</v>
      </c>
      <c r="E9" t="s">
        <v>1137</v>
      </c>
      <c r="F9" t="s">
        <v>1138</v>
      </c>
      <c r="G9" s="50">
        <v>16670.740000000002</v>
      </c>
      <c r="H9" s="50">
        <v>4668</v>
      </c>
      <c r="I9" s="50">
        <v>21338.74</v>
      </c>
      <c r="J9" s="150">
        <v>0</v>
      </c>
      <c r="K9" s="50">
        <v>21338.74</v>
      </c>
      <c r="L9" s="146" t="s">
        <v>230</v>
      </c>
    </row>
    <row r="10" spans="1:12">
      <c r="A10" t="s">
        <v>1139</v>
      </c>
      <c r="B10" s="146" t="s">
        <v>729</v>
      </c>
      <c r="C10" s="105">
        <v>45706</v>
      </c>
      <c r="D10" t="s">
        <v>51</v>
      </c>
      <c r="E10" t="s">
        <v>1140</v>
      </c>
      <c r="F10" t="s">
        <v>1141</v>
      </c>
      <c r="G10" s="50">
        <v>23481.66</v>
      </c>
      <c r="H10" s="50">
        <v>3000</v>
      </c>
      <c r="I10" s="50">
        <v>26481.66</v>
      </c>
      <c r="J10" s="150">
        <v>0</v>
      </c>
      <c r="K10" s="50">
        <v>26481.66</v>
      </c>
      <c r="L10" s="146" t="s">
        <v>230</v>
      </c>
    </row>
    <row r="11" spans="1:12">
      <c r="A11" t="s">
        <v>1142</v>
      </c>
      <c r="B11" s="146" t="s">
        <v>738</v>
      </c>
      <c r="C11" s="105">
        <v>45727</v>
      </c>
      <c r="D11" t="s">
        <v>51</v>
      </c>
      <c r="E11" t="s">
        <v>1143</v>
      </c>
      <c r="F11" t="s">
        <v>1144</v>
      </c>
      <c r="G11" s="50">
        <v>973.08</v>
      </c>
      <c r="H11" s="50">
        <v>420</v>
      </c>
      <c r="I11" s="50">
        <v>1393.08</v>
      </c>
      <c r="J11" s="150">
        <v>0</v>
      </c>
      <c r="K11" s="50">
        <v>1393.08</v>
      </c>
      <c r="L11" s="146" t="s">
        <v>231</v>
      </c>
    </row>
    <row r="12" spans="1:12">
      <c r="A12" t="s">
        <v>1145</v>
      </c>
      <c r="B12" s="146" t="s">
        <v>738</v>
      </c>
      <c r="C12" s="105">
        <v>45733</v>
      </c>
      <c r="D12" t="s">
        <v>51</v>
      </c>
      <c r="E12" t="s">
        <v>1146</v>
      </c>
      <c r="F12" t="s">
        <v>1147</v>
      </c>
      <c r="G12" s="50">
        <v>973.08</v>
      </c>
      <c r="H12" s="50">
        <v>420</v>
      </c>
      <c r="I12" s="50">
        <v>1393.08</v>
      </c>
      <c r="J12" s="150">
        <v>0</v>
      </c>
      <c r="K12" s="50">
        <v>1393.08</v>
      </c>
      <c r="L12" s="146" t="s">
        <v>231</v>
      </c>
    </row>
    <row r="13" spans="1:12">
      <c r="A13" t="s">
        <v>1148</v>
      </c>
      <c r="B13" s="146" t="s">
        <v>738</v>
      </c>
      <c r="C13" s="105">
        <v>45736</v>
      </c>
      <c r="D13" t="s">
        <v>51</v>
      </c>
      <c r="E13" t="s">
        <v>1149</v>
      </c>
      <c r="F13" t="s">
        <v>1150</v>
      </c>
      <c r="G13" s="50">
        <v>110273.46</v>
      </c>
      <c r="H13" s="50">
        <v>5028</v>
      </c>
      <c r="I13" s="50">
        <v>115301.46</v>
      </c>
      <c r="J13" s="150">
        <v>0</v>
      </c>
      <c r="K13" s="50">
        <v>115301.46</v>
      </c>
      <c r="L13" s="146" t="s">
        <v>230</v>
      </c>
    </row>
    <row r="14" spans="1:12">
      <c r="A14" t="s">
        <v>1151</v>
      </c>
      <c r="B14" s="146" t="s">
        <v>738</v>
      </c>
      <c r="C14" s="105">
        <v>45737</v>
      </c>
      <c r="D14" t="s">
        <v>51</v>
      </c>
      <c r="E14" t="s">
        <v>1152</v>
      </c>
      <c r="F14" t="s">
        <v>1153</v>
      </c>
      <c r="G14" s="50">
        <v>688.08</v>
      </c>
      <c r="H14" s="50">
        <v>420</v>
      </c>
      <c r="I14" s="50">
        <v>1108.08</v>
      </c>
      <c r="J14" s="150">
        <v>0</v>
      </c>
      <c r="K14" s="50">
        <v>1108.08</v>
      </c>
      <c r="L14" s="146" t="s">
        <v>231</v>
      </c>
    </row>
    <row r="15" spans="1:12">
      <c r="A15" t="s">
        <v>1190</v>
      </c>
      <c r="B15" s="157" t="s">
        <v>730</v>
      </c>
      <c r="C15" s="105">
        <v>45758</v>
      </c>
      <c r="D15" t="s">
        <v>51</v>
      </c>
      <c r="E15" t="s">
        <v>1191</v>
      </c>
      <c r="F15" t="s">
        <v>1192</v>
      </c>
      <c r="G15" s="50">
        <v>50732.85</v>
      </c>
      <c r="H15" s="50">
        <v>2100</v>
      </c>
      <c r="I15" s="50">
        <v>52832.85</v>
      </c>
      <c r="J15" s="150">
        <v>0</v>
      </c>
      <c r="K15" s="50">
        <v>52832.85</v>
      </c>
      <c r="L15" s="146" t="s">
        <v>230</v>
      </c>
    </row>
    <row r="16" spans="1:12">
      <c r="A16" t="s">
        <v>1193</v>
      </c>
      <c r="B16" s="157" t="s">
        <v>730</v>
      </c>
      <c r="C16" s="105">
        <v>45758</v>
      </c>
      <c r="D16" t="s">
        <v>51</v>
      </c>
      <c r="E16" t="s">
        <v>1194</v>
      </c>
      <c r="F16" t="s">
        <v>1195</v>
      </c>
      <c r="G16" s="50">
        <v>105312.61</v>
      </c>
      <c r="H16" s="50">
        <v>5208</v>
      </c>
      <c r="I16" s="50">
        <v>110520.61</v>
      </c>
      <c r="J16" s="150">
        <v>0</v>
      </c>
      <c r="K16" s="50">
        <v>110520.61</v>
      </c>
      <c r="L16" s="146" t="s">
        <v>230</v>
      </c>
    </row>
    <row r="17" spans="1:12">
      <c r="A17" t="s">
        <v>1196</v>
      </c>
      <c r="B17" s="157" t="s">
        <v>730</v>
      </c>
      <c r="C17" s="105">
        <v>45764</v>
      </c>
      <c r="D17" t="s">
        <v>51</v>
      </c>
      <c r="E17" t="s">
        <v>205</v>
      </c>
      <c r="F17" t="s">
        <v>1197</v>
      </c>
      <c r="G17" s="50">
        <v>29509.72</v>
      </c>
      <c r="H17" s="50">
        <v>6840</v>
      </c>
      <c r="I17" s="50">
        <v>36349.72</v>
      </c>
      <c r="J17" s="150">
        <v>0</v>
      </c>
      <c r="K17" s="50">
        <v>36349.72</v>
      </c>
      <c r="L17" s="146" t="s">
        <v>230</v>
      </c>
    </row>
    <row r="18" spans="1:12">
      <c r="A18" t="s">
        <v>1198</v>
      </c>
      <c r="B18" s="157" t="s">
        <v>730</v>
      </c>
      <c r="C18" s="105">
        <v>45777</v>
      </c>
      <c r="D18" t="s">
        <v>51</v>
      </c>
      <c r="E18" t="s">
        <v>1199</v>
      </c>
      <c r="F18" t="s">
        <v>1200</v>
      </c>
      <c r="G18" s="50">
        <v>18687.64</v>
      </c>
      <c r="H18" s="50">
        <v>2700</v>
      </c>
      <c r="I18" s="50">
        <v>21387.64</v>
      </c>
      <c r="J18" s="150">
        <v>0</v>
      </c>
      <c r="K18" s="50">
        <v>21387.64</v>
      </c>
      <c r="L18" s="146" t="s">
        <v>230</v>
      </c>
    </row>
    <row r="19" spans="1:12">
      <c r="A19" s="148" t="s">
        <v>1240</v>
      </c>
      <c r="B19" s="148" t="s">
        <v>731</v>
      </c>
      <c r="C19" s="149">
        <v>45785</v>
      </c>
      <c r="D19" s="148" t="s">
        <v>1241</v>
      </c>
      <c r="E19" s="148" t="s">
        <v>1242</v>
      </c>
      <c r="F19" s="148" t="s">
        <v>1243</v>
      </c>
      <c r="G19" s="150">
        <v>825</v>
      </c>
      <c r="H19" s="150">
        <v>150</v>
      </c>
      <c r="I19" s="150">
        <v>975</v>
      </c>
      <c r="J19" s="150"/>
      <c r="K19" s="150">
        <v>975</v>
      </c>
      <c r="L19" s="160" t="s">
        <v>232</v>
      </c>
    </row>
    <row r="20" spans="1:12">
      <c r="A20" s="148" t="s">
        <v>1244</v>
      </c>
      <c r="B20" s="148" t="s">
        <v>731</v>
      </c>
      <c r="C20" s="149">
        <v>45787</v>
      </c>
      <c r="D20" s="148" t="s">
        <v>51</v>
      </c>
      <c r="E20" s="148" t="s">
        <v>1245</v>
      </c>
      <c r="F20" s="148" t="s">
        <v>1246</v>
      </c>
      <c r="G20" s="150">
        <v>9344.94</v>
      </c>
      <c r="H20" s="150">
        <v>5664</v>
      </c>
      <c r="I20" s="150">
        <v>15008.94</v>
      </c>
      <c r="J20" s="150">
        <v>0</v>
      </c>
      <c r="K20" s="150">
        <v>15008.94</v>
      </c>
      <c r="L20" s="160" t="s">
        <v>230</v>
      </c>
    </row>
    <row r="21" spans="1:12">
      <c r="A21" s="148" t="s">
        <v>1247</v>
      </c>
      <c r="B21" s="148" t="s">
        <v>731</v>
      </c>
      <c r="C21" s="149">
        <v>45792</v>
      </c>
      <c r="D21" s="148" t="s">
        <v>51</v>
      </c>
      <c r="E21" s="148" t="s">
        <v>1242</v>
      </c>
      <c r="F21" s="148" t="s">
        <v>1248</v>
      </c>
      <c r="G21" s="150">
        <v>13816.58</v>
      </c>
      <c r="H21" s="150">
        <v>1572</v>
      </c>
      <c r="I21" s="150">
        <v>15388.58</v>
      </c>
      <c r="J21" s="150">
        <v>0</v>
      </c>
      <c r="K21" s="150">
        <v>15388.58</v>
      </c>
      <c r="L21" s="160" t="s">
        <v>230</v>
      </c>
    </row>
    <row r="22" spans="1:12">
      <c r="A22" s="148" t="s">
        <v>1249</v>
      </c>
      <c r="B22" s="148" t="s">
        <v>731</v>
      </c>
      <c r="C22" s="149">
        <v>45801</v>
      </c>
      <c r="D22" s="148" t="s">
        <v>51</v>
      </c>
      <c r="E22" s="148" t="s">
        <v>1242</v>
      </c>
      <c r="F22" s="148" t="s">
        <v>1250</v>
      </c>
      <c r="G22" s="150">
        <v>973.08</v>
      </c>
      <c r="H22" s="150">
        <v>420</v>
      </c>
      <c r="I22" s="150">
        <v>1393.08</v>
      </c>
      <c r="J22" s="150">
        <v>0</v>
      </c>
      <c r="K22" s="150">
        <v>1393.08</v>
      </c>
      <c r="L22" s="160" t="s">
        <v>231</v>
      </c>
    </row>
    <row r="23" spans="1:12">
      <c r="A23" s="148" t="s">
        <v>1251</v>
      </c>
      <c r="B23" s="148" t="s">
        <v>731</v>
      </c>
      <c r="C23" s="149">
        <v>45803</v>
      </c>
      <c r="D23" s="148" t="s">
        <v>51</v>
      </c>
      <c r="E23" s="148" t="s">
        <v>1252</v>
      </c>
      <c r="F23" s="148" t="s">
        <v>1253</v>
      </c>
      <c r="G23" s="150">
        <v>15972.39</v>
      </c>
      <c r="H23" s="150">
        <v>14124</v>
      </c>
      <c r="I23" s="150">
        <v>30096.39</v>
      </c>
      <c r="J23" s="150">
        <v>0</v>
      </c>
      <c r="K23" s="150">
        <v>30096.39</v>
      </c>
      <c r="L23" s="160" t="s">
        <v>230</v>
      </c>
    </row>
    <row r="24" spans="1:12">
      <c r="A24" s="148" t="s">
        <v>1385</v>
      </c>
      <c r="B24" s="148" t="s">
        <v>732</v>
      </c>
      <c r="C24" s="149">
        <v>45812</v>
      </c>
      <c r="D24" s="148" t="s">
        <v>51</v>
      </c>
      <c r="E24" s="148" t="s">
        <v>100</v>
      </c>
      <c r="F24" s="148" t="s">
        <v>1386</v>
      </c>
      <c r="G24" s="150">
        <v>42337.94</v>
      </c>
      <c r="H24" s="150">
        <v>4356</v>
      </c>
      <c r="I24" s="150">
        <v>46693.94</v>
      </c>
      <c r="J24" s="150">
        <v>0</v>
      </c>
      <c r="K24" s="150">
        <v>46693.94</v>
      </c>
      <c r="L24" s="192" t="s">
        <v>230</v>
      </c>
    </row>
    <row r="25" spans="1:12">
      <c r="A25" s="148" t="s">
        <v>1387</v>
      </c>
      <c r="B25" s="148" t="s">
        <v>732</v>
      </c>
      <c r="C25" s="149">
        <v>45817</v>
      </c>
      <c r="D25" s="148" t="s">
        <v>51</v>
      </c>
      <c r="E25" s="148" t="s">
        <v>1388</v>
      </c>
      <c r="F25" s="148" t="s">
        <v>1389</v>
      </c>
      <c r="G25" s="150">
        <v>22228.46</v>
      </c>
      <c r="H25" s="150">
        <v>1930.8</v>
      </c>
      <c r="I25" s="150">
        <v>24159.26</v>
      </c>
      <c r="J25" s="150">
        <v>0</v>
      </c>
      <c r="K25" s="150">
        <v>24159.26</v>
      </c>
      <c r="L25" s="192" t="s">
        <v>230</v>
      </c>
    </row>
    <row r="26" spans="1:12">
      <c r="A26" s="148" t="s">
        <v>1390</v>
      </c>
      <c r="B26" s="148" t="s">
        <v>732</v>
      </c>
      <c r="C26" s="149">
        <v>45832</v>
      </c>
      <c r="D26" s="148" t="s">
        <v>51</v>
      </c>
      <c r="E26" s="148" t="s">
        <v>1391</v>
      </c>
      <c r="F26" s="148" t="s">
        <v>1392</v>
      </c>
      <c r="G26" s="150">
        <v>27736.32</v>
      </c>
      <c r="H26" s="150">
        <v>6960</v>
      </c>
      <c r="I26" s="150">
        <v>34696.32</v>
      </c>
      <c r="J26" s="150">
        <v>0</v>
      </c>
      <c r="K26" s="150">
        <v>34696.32</v>
      </c>
      <c r="L26" s="192" t="s">
        <v>230</v>
      </c>
    </row>
    <row r="27" spans="1:12">
      <c r="A27" s="148" t="s">
        <v>1406</v>
      </c>
      <c r="B27" s="148" t="s">
        <v>13</v>
      </c>
      <c r="C27" s="149">
        <v>45845</v>
      </c>
      <c r="D27" s="148" t="s">
        <v>51</v>
      </c>
      <c r="E27" s="148" t="s">
        <v>1407</v>
      </c>
      <c r="F27" s="148" t="s">
        <v>1408</v>
      </c>
      <c r="G27" s="150">
        <v>53842.38</v>
      </c>
      <c r="H27" s="150">
        <v>2676</v>
      </c>
      <c r="I27" s="150">
        <v>56518.38</v>
      </c>
      <c r="J27" s="150">
        <v>0</v>
      </c>
      <c r="K27" s="150">
        <v>56518.38</v>
      </c>
      <c r="L27" s="198" t="s">
        <v>230</v>
      </c>
    </row>
    <row r="28" spans="1:12">
      <c r="A28" s="148" t="s">
        <v>1409</v>
      </c>
      <c r="B28" s="148" t="s">
        <v>13</v>
      </c>
      <c r="C28" s="149">
        <v>45849</v>
      </c>
      <c r="D28" s="148" t="s">
        <v>51</v>
      </c>
      <c r="E28" s="148" t="s">
        <v>1391</v>
      </c>
      <c r="F28" s="148" t="s">
        <v>1410</v>
      </c>
      <c r="G28" s="150">
        <v>2419.9699999999998</v>
      </c>
      <c r="H28" s="150">
        <v>180</v>
      </c>
      <c r="I28" s="150">
        <v>2599.9699999999998</v>
      </c>
      <c r="J28" s="150">
        <v>0</v>
      </c>
      <c r="K28" s="150">
        <v>2599.9699999999998</v>
      </c>
      <c r="L28" s="198" t="s">
        <v>230</v>
      </c>
    </row>
    <row r="29" spans="1:12">
      <c r="A29" s="148" t="s">
        <v>1411</v>
      </c>
      <c r="B29" s="148" t="s">
        <v>13</v>
      </c>
      <c r="C29" s="149">
        <v>45849</v>
      </c>
      <c r="D29" s="148" t="s">
        <v>51</v>
      </c>
      <c r="E29" s="148" t="s">
        <v>1412</v>
      </c>
      <c r="F29" s="148" t="s">
        <v>1413</v>
      </c>
      <c r="G29" s="150">
        <v>19871.919999999998</v>
      </c>
      <c r="H29" s="150">
        <v>6144</v>
      </c>
      <c r="I29" s="150">
        <v>26015.919999999998</v>
      </c>
      <c r="J29" s="150">
        <v>0</v>
      </c>
      <c r="K29" s="150">
        <v>26015.919999999998</v>
      </c>
      <c r="L29" s="198" t="s">
        <v>230</v>
      </c>
    </row>
    <row r="30" spans="1:12">
      <c r="A30" s="148" t="s">
        <v>1414</v>
      </c>
      <c r="B30" s="148" t="s">
        <v>13</v>
      </c>
      <c r="C30" s="149">
        <v>45853</v>
      </c>
      <c r="D30" s="148" t="s">
        <v>51</v>
      </c>
      <c r="E30" s="148" t="s">
        <v>1398</v>
      </c>
      <c r="F30" s="148" t="s">
        <v>1415</v>
      </c>
      <c r="G30" s="150">
        <v>35499.46</v>
      </c>
      <c r="H30" s="150">
        <v>18948</v>
      </c>
      <c r="I30" s="150">
        <v>54447.46</v>
      </c>
      <c r="J30" s="150">
        <v>0</v>
      </c>
      <c r="K30" s="150">
        <v>54447.46</v>
      </c>
      <c r="L30" s="198" t="s">
        <v>230</v>
      </c>
    </row>
    <row r="31" spans="1:12">
      <c r="A31" s="148" t="s">
        <v>1416</v>
      </c>
      <c r="B31" s="148" t="s">
        <v>13</v>
      </c>
      <c r="C31" s="149">
        <v>45853</v>
      </c>
      <c r="D31" s="148" t="s">
        <v>51</v>
      </c>
      <c r="E31" s="148" t="s">
        <v>1417</v>
      </c>
      <c r="F31" s="148" t="s">
        <v>1418</v>
      </c>
      <c r="G31" s="150">
        <v>1258.08</v>
      </c>
      <c r="H31" s="150">
        <v>420</v>
      </c>
      <c r="I31" s="150">
        <v>1678.08</v>
      </c>
      <c r="J31" s="150">
        <v>0</v>
      </c>
      <c r="K31" s="150">
        <v>1678.08</v>
      </c>
      <c r="L31" s="198" t="s">
        <v>231</v>
      </c>
    </row>
    <row r="32" spans="1:12">
      <c r="A32" s="148" t="s">
        <v>1419</v>
      </c>
      <c r="B32" s="148" t="s">
        <v>13</v>
      </c>
      <c r="C32" s="149">
        <v>45862</v>
      </c>
      <c r="D32" s="148" t="s">
        <v>51</v>
      </c>
      <c r="E32" s="148" t="s">
        <v>1420</v>
      </c>
      <c r="F32" s="148" t="s">
        <v>1421</v>
      </c>
      <c r="G32" s="150">
        <v>64600</v>
      </c>
      <c r="H32" s="150"/>
      <c r="I32" s="150">
        <v>64600</v>
      </c>
      <c r="J32" s="150">
        <v>0</v>
      </c>
      <c r="K32" s="150">
        <v>64600</v>
      </c>
      <c r="L32" s="198" t="s">
        <v>230</v>
      </c>
    </row>
    <row r="33" spans="1:12">
      <c r="A33" s="148" t="s">
        <v>1422</v>
      </c>
      <c r="B33" s="148" t="s">
        <v>13</v>
      </c>
      <c r="C33" s="149">
        <v>45862</v>
      </c>
      <c r="D33" s="148" t="s">
        <v>51</v>
      </c>
      <c r="E33" s="148" t="s">
        <v>1423</v>
      </c>
      <c r="F33" s="148" t="s">
        <v>1424</v>
      </c>
      <c r="G33" s="150">
        <v>973.08</v>
      </c>
      <c r="H33" s="150">
        <v>420</v>
      </c>
      <c r="I33" s="150">
        <v>1393.08</v>
      </c>
      <c r="J33" s="150">
        <v>0</v>
      </c>
      <c r="K33" s="150">
        <v>1393.08</v>
      </c>
      <c r="L33" s="198" t="s">
        <v>231</v>
      </c>
    </row>
    <row r="34" spans="1:12">
      <c r="A34" s="148" t="s">
        <v>1425</v>
      </c>
      <c r="B34" s="148" t="s">
        <v>13</v>
      </c>
      <c r="C34" s="149">
        <v>45867</v>
      </c>
      <c r="D34" s="148" t="s">
        <v>51</v>
      </c>
      <c r="E34" s="148" t="s">
        <v>1423</v>
      </c>
      <c r="F34" s="148" t="s">
        <v>1426</v>
      </c>
      <c r="G34" s="150"/>
      <c r="H34" s="150">
        <v>96</v>
      </c>
      <c r="I34" s="150">
        <v>96</v>
      </c>
      <c r="J34" s="150"/>
      <c r="K34" s="199">
        <v>96</v>
      </c>
      <c r="L34" s="198" t="s">
        <v>1433</v>
      </c>
    </row>
    <row r="35" spans="1:12">
      <c r="A35" s="148" t="s">
        <v>1427</v>
      </c>
      <c r="B35" s="148" t="s">
        <v>13</v>
      </c>
      <c r="C35" s="149">
        <v>45869</v>
      </c>
      <c r="D35" s="148" t="s">
        <v>51</v>
      </c>
      <c r="E35" s="148" t="s">
        <v>1428</v>
      </c>
      <c r="F35" s="148" t="s">
        <v>1429</v>
      </c>
      <c r="G35" s="150">
        <v>20673.84</v>
      </c>
      <c r="H35" s="150">
        <v>3240</v>
      </c>
      <c r="I35" s="150">
        <v>23913.84</v>
      </c>
      <c r="J35" s="150">
        <v>0</v>
      </c>
      <c r="K35" s="150">
        <v>23913.84</v>
      </c>
      <c r="L35" s="198" t="s">
        <v>230</v>
      </c>
    </row>
    <row r="36" spans="1:12">
      <c r="A36" s="148" t="s">
        <v>1430</v>
      </c>
      <c r="B36" s="148" t="s">
        <v>13</v>
      </c>
      <c r="C36" s="149">
        <v>45869</v>
      </c>
      <c r="D36" s="148" t="s">
        <v>51</v>
      </c>
      <c r="E36" s="148" t="s">
        <v>1431</v>
      </c>
      <c r="F36" s="148" t="s">
        <v>1432</v>
      </c>
      <c r="G36" s="150">
        <v>76000</v>
      </c>
      <c r="H36" s="150"/>
      <c r="I36" s="150">
        <v>76000</v>
      </c>
      <c r="J36" s="150">
        <v>0</v>
      </c>
      <c r="K36" s="150">
        <v>76000</v>
      </c>
      <c r="L36" s="198" t="s">
        <v>230</v>
      </c>
    </row>
    <row r="37" spans="1:12">
      <c r="A37" s="148" t="s">
        <v>1547</v>
      </c>
      <c r="B37" s="148" t="s">
        <v>733</v>
      </c>
      <c r="C37" s="149">
        <v>45885</v>
      </c>
      <c r="D37" s="148" t="s">
        <v>51</v>
      </c>
      <c r="E37" s="148" t="s">
        <v>1548</v>
      </c>
      <c r="F37" s="148" t="s">
        <v>1549</v>
      </c>
      <c r="G37" s="150">
        <v>893.76</v>
      </c>
      <c r="H37" s="150">
        <v>228</v>
      </c>
      <c r="I37" s="150">
        <v>1121.76</v>
      </c>
      <c r="J37" s="150">
        <v>0</v>
      </c>
      <c r="K37" s="150">
        <v>1140</v>
      </c>
      <c r="L37" s="201" t="s">
        <v>231</v>
      </c>
    </row>
    <row r="38" spans="1:12">
      <c r="A38" s="148" t="s">
        <v>1550</v>
      </c>
      <c r="B38" s="148" t="s">
        <v>733</v>
      </c>
      <c r="C38" s="149">
        <v>45885</v>
      </c>
      <c r="D38" s="148" t="s">
        <v>51</v>
      </c>
      <c r="E38" s="148" t="s">
        <v>1551</v>
      </c>
      <c r="F38" s="148" t="s">
        <v>1552</v>
      </c>
      <c r="G38" s="150">
        <v>5367.5</v>
      </c>
      <c r="H38" s="150">
        <v>2736</v>
      </c>
      <c r="I38" s="150">
        <v>8103.5</v>
      </c>
      <c r="J38" s="150">
        <v>0</v>
      </c>
      <c r="K38" s="150">
        <v>8322.3799999999992</v>
      </c>
      <c r="L38" s="201" t="s">
        <v>230</v>
      </c>
    </row>
    <row r="39" spans="1:12">
      <c r="A39" s="148" t="s">
        <v>1553</v>
      </c>
      <c r="B39" s="148" t="s">
        <v>733</v>
      </c>
      <c r="C39" s="149">
        <v>45889</v>
      </c>
      <c r="D39" s="148" t="s">
        <v>51</v>
      </c>
      <c r="E39" s="148" t="s">
        <v>1554</v>
      </c>
      <c r="F39" s="148" t="s">
        <v>1555</v>
      </c>
      <c r="G39" s="150">
        <v>4682.57</v>
      </c>
      <c r="H39" s="150">
        <v>1653</v>
      </c>
      <c r="I39" s="150">
        <v>6335.57</v>
      </c>
      <c r="J39" s="150">
        <v>0</v>
      </c>
      <c r="K39" s="150">
        <v>6467.81</v>
      </c>
      <c r="L39" s="201" t="s">
        <v>230</v>
      </c>
    </row>
    <row r="40" spans="1:12">
      <c r="A40" s="148" t="s">
        <v>1556</v>
      </c>
      <c r="B40" s="148" t="s">
        <v>733</v>
      </c>
      <c r="C40" s="149">
        <v>45894</v>
      </c>
      <c r="D40" s="148" t="s">
        <v>51</v>
      </c>
      <c r="E40" s="148" t="s">
        <v>1557</v>
      </c>
      <c r="F40" s="148" t="s">
        <v>1558</v>
      </c>
      <c r="G40" s="150">
        <v>994.08</v>
      </c>
      <c r="H40" s="150">
        <v>399</v>
      </c>
      <c r="I40" s="150">
        <v>1393.08</v>
      </c>
      <c r="J40" s="150">
        <v>0</v>
      </c>
      <c r="K40" s="150">
        <v>1425</v>
      </c>
      <c r="L40" s="201" t="s">
        <v>231</v>
      </c>
    </row>
    <row r="41" spans="1:12">
      <c r="A41" s="148" t="s">
        <v>1577</v>
      </c>
      <c r="B41" s="148" t="s">
        <v>734</v>
      </c>
      <c r="C41" s="149">
        <v>45906</v>
      </c>
      <c r="D41" s="148" t="s">
        <v>51</v>
      </c>
      <c r="E41" s="148" t="s">
        <v>1576</v>
      </c>
      <c r="F41" s="148" t="s">
        <v>1575</v>
      </c>
      <c r="G41" s="150">
        <v>1947.5</v>
      </c>
      <c r="H41" s="150">
        <v>5962.2</v>
      </c>
      <c r="I41" s="150">
        <v>7909.7</v>
      </c>
      <c r="J41" s="150">
        <v>0</v>
      </c>
      <c r="K41" s="150">
        <v>8386.68</v>
      </c>
      <c r="L41" s="202" t="s">
        <v>230</v>
      </c>
    </row>
    <row r="42" spans="1:12">
      <c r="A42" s="148" t="s">
        <v>1574</v>
      </c>
      <c r="B42" s="148" t="s">
        <v>734</v>
      </c>
      <c r="C42" s="149">
        <v>45912</v>
      </c>
      <c r="D42" s="148" t="s">
        <v>51</v>
      </c>
      <c r="E42" s="148" t="s">
        <v>1573</v>
      </c>
      <c r="F42" s="148" t="s">
        <v>1572</v>
      </c>
      <c r="G42" s="150">
        <v>3972.38</v>
      </c>
      <c r="H42" s="150">
        <v>1664.4</v>
      </c>
      <c r="I42" s="150">
        <v>5636.78</v>
      </c>
      <c r="J42" s="150">
        <v>0</v>
      </c>
      <c r="K42" s="150">
        <v>5636.78</v>
      </c>
      <c r="L42" s="202" t="s">
        <v>230</v>
      </c>
    </row>
    <row r="43" spans="1:12">
      <c r="A43" s="148" t="s">
        <v>1571</v>
      </c>
      <c r="B43" s="148" t="s">
        <v>734</v>
      </c>
      <c r="C43" s="149">
        <v>45913</v>
      </c>
      <c r="D43" s="148" t="s">
        <v>51</v>
      </c>
      <c r="E43" s="148" t="s">
        <v>1143</v>
      </c>
      <c r="F43" s="148" t="s">
        <v>1570</v>
      </c>
      <c r="G43" s="150">
        <v>994.08</v>
      </c>
      <c r="H43" s="150">
        <v>399</v>
      </c>
      <c r="I43" s="150">
        <v>1393.08</v>
      </c>
      <c r="J43" s="150">
        <v>0</v>
      </c>
      <c r="K43" s="150">
        <v>1425</v>
      </c>
      <c r="L43" s="202" t="s">
        <v>231</v>
      </c>
    </row>
    <row r="44" spans="1:12">
      <c r="A44" s="148" t="s">
        <v>1569</v>
      </c>
      <c r="B44" s="148" t="s">
        <v>734</v>
      </c>
      <c r="C44" s="149">
        <v>45920</v>
      </c>
      <c r="D44" s="148" t="s">
        <v>51</v>
      </c>
      <c r="E44" s="148" t="s">
        <v>1568</v>
      </c>
      <c r="F44" s="148" t="s">
        <v>1567</v>
      </c>
      <c r="G44" s="150">
        <v>2701.72</v>
      </c>
      <c r="H44" s="150">
        <v>1140</v>
      </c>
      <c r="I44" s="150">
        <v>3841.72</v>
      </c>
      <c r="J44" s="150">
        <v>0</v>
      </c>
      <c r="K44" s="150">
        <v>3932.92</v>
      </c>
      <c r="L44" s="202" t="s">
        <v>230</v>
      </c>
    </row>
    <row r="45" spans="1:12">
      <c r="A45" s="148" t="s">
        <v>1566</v>
      </c>
      <c r="B45" s="148" t="s">
        <v>734</v>
      </c>
      <c r="C45" s="149">
        <v>45924</v>
      </c>
      <c r="D45" s="148" t="s">
        <v>51</v>
      </c>
      <c r="E45" s="148" t="s">
        <v>1565</v>
      </c>
      <c r="F45" s="148" t="s">
        <v>1564</v>
      </c>
      <c r="G45" s="150"/>
      <c r="H45" s="150">
        <v>760</v>
      </c>
      <c r="I45" s="150">
        <v>760</v>
      </c>
      <c r="J45" s="150">
        <v>0</v>
      </c>
      <c r="K45" s="150">
        <v>820.8</v>
      </c>
      <c r="L45" t="s">
        <v>232</v>
      </c>
    </row>
    <row r="46" spans="1:12">
      <c r="A46" s="148" t="s">
        <v>1563</v>
      </c>
      <c r="B46" s="148" t="s">
        <v>734</v>
      </c>
      <c r="C46" s="149">
        <v>45930</v>
      </c>
      <c r="D46" s="148" t="s">
        <v>51</v>
      </c>
      <c r="E46" s="148" t="s">
        <v>1562</v>
      </c>
      <c r="F46" s="148" t="s">
        <v>1561</v>
      </c>
      <c r="G46" s="150">
        <v>73672.58</v>
      </c>
      <c r="H46" s="150">
        <v>7421.4</v>
      </c>
      <c r="I46" s="150">
        <v>81093.98</v>
      </c>
      <c r="J46" s="150">
        <v>0</v>
      </c>
      <c r="K46" s="150">
        <v>81687.69</v>
      </c>
      <c r="L46" s="202" t="s">
        <v>230</v>
      </c>
    </row>
    <row r="47" spans="1:12">
      <c r="A47" s="148" t="s">
        <v>1619</v>
      </c>
      <c r="B47" s="148" t="s">
        <v>735</v>
      </c>
      <c r="C47" s="149">
        <v>45931</v>
      </c>
      <c r="D47" s="148" t="s">
        <v>51</v>
      </c>
      <c r="E47" s="148" t="s">
        <v>77</v>
      </c>
      <c r="F47" s="148" t="s">
        <v>1620</v>
      </c>
      <c r="G47" s="150">
        <v>994.08</v>
      </c>
      <c r="H47" s="150">
        <v>399</v>
      </c>
      <c r="I47" s="150">
        <v>1393.08</v>
      </c>
      <c r="J47" s="150">
        <v>0</v>
      </c>
      <c r="K47" s="150">
        <v>1425</v>
      </c>
      <c r="L47" s="203" t="s">
        <v>231</v>
      </c>
    </row>
    <row r="48" spans="1:12">
      <c r="A48" s="148" t="s">
        <v>1621</v>
      </c>
      <c r="B48" s="148" t="s">
        <v>735</v>
      </c>
      <c r="C48" s="149">
        <v>45938</v>
      </c>
      <c r="D48" s="148" t="s">
        <v>51</v>
      </c>
      <c r="E48" s="148" t="s">
        <v>1622</v>
      </c>
      <c r="F48" s="148" t="s">
        <v>1623</v>
      </c>
      <c r="G48" s="150">
        <v>11491</v>
      </c>
      <c r="H48" s="150">
        <v>969</v>
      </c>
      <c r="I48" s="150">
        <v>12460</v>
      </c>
      <c r="J48" s="150">
        <v>0</v>
      </c>
      <c r="K48" s="150">
        <v>12537.52</v>
      </c>
      <c r="L48" s="203" t="s">
        <v>230</v>
      </c>
    </row>
    <row r="49" spans="1:12">
      <c r="A49" s="148" t="s">
        <v>1624</v>
      </c>
      <c r="B49" s="148" t="s">
        <v>735</v>
      </c>
      <c r="C49" s="149">
        <v>45940</v>
      </c>
      <c r="D49" s="148" t="s">
        <v>51</v>
      </c>
      <c r="E49" s="148" t="s">
        <v>1625</v>
      </c>
      <c r="F49" s="148" t="s">
        <v>1626</v>
      </c>
      <c r="G49" s="150">
        <v>36212.21</v>
      </c>
      <c r="H49" s="150">
        <v>7361.55</v>
      </c>
      <c r="I49" s="150">
        <v>43573.760000000002</v>
      </c>
      <c r="J49" s="150">
        <v>0</v>
      </c>
      <c r="K49" s="150">
        <v>44162.68</v>
      </c>
      <c r="L49" s="203" t="s">
        <v>230</v>
      </c>
    </row>
    <row r="50" spans="1:12">
      <c r="A50" s="148" t="s">
        <v>1627</v>
      </c>
      <c r="B50" s="148" t="s">
        <v>735</v>
      </c>
      <c r="C50" s="149">
        <v>45951</v>
      </c>
      <c r="D50" s="148" t="s">
        <v>51</v>
      </c>
      <c r="E50" s="148" t="s">
        <v>1628</v>
      </c>
      <c r="F50" s="148" t="s">
        <v>1629</v>
      </c>
      <c r="G50" s="150">
        <v>329.08</v>
      </c>
      <c r="H50" s="150">
        <v>399</v>
      </c>
      <c r="I50" s="150">
        <v>728.08</v>
      </c>
      <c r="J50" s="150">
        <v>0</v>
      </c>
      <c r="K50" s="150">
        <v>760</v>
      </c>
      <c r="L50" s="203" t="s">
        <v>231</v>
      </c>
    </row>
    <row r="51" spans="1:12">
      <c r="A51" s="148" t="s">
        <v>1630</v>
      </c>
      <c r="B51" s="148" t="s">
        <v>735</v>
      </c>
      <c r="C51" s="149">
        <v>45955</v>
      </c>
      <c r="D51" s="148" t="s">
        <v>51</v>
      </c>
      <c r="E51" s="148" t="s">
        <v>1631</v>
      </c>
      <c r="F51" s="148" t="s">
        <v>1632</v>
      </c>
      <c r="G51" s="150">
        <v>7788.24</v>
      </c>
      <c r="H51" s="150">
        <v>1744.2</v>
      </c>
      <c r="I51" s="150">
        <v>9532.44</v>
      </c>
      <c r="J51" s="150">
        <v>0</v>
      </c>
      <c r="K51" s="150">
        <v>9671.98</v>
      </c>
      <c r="L51" s="203" t="s">
        <v>230</v>
      </c>
    </row>
    <row r="52" spans="1:12">
      <c r="A52" s="148" t="s">
        <v>1633</v>
      </c>
      <c r="B52" s="148" t="s">
        <v>735</v>
      </c>
      <c r="C52" s="149">
        <v>45958</v>
      </c>
      <c r="D52" s="148" t="s">
        <v>51</v>
      </c>
      <c r="E52" s="148" t="s">
        <v>1634</v>
      </c>
      <c r="F52" s="148" t="s">
        <v>1635</v>
      </c>
      <c r="G52" s="150">
        <v>56101.97</v>
      </c>
      <c r="H52" s="150">
        <v>9405</v>
      </c>
      <c r="I52" s="150">
        <v>65506.97</v>
      </c>
      <c r="J52" s="150">
        <v>0</v>
      </c>
      <c r="K52" s="150">
        <v>66259.37</v>
      </c>
      <c r="L52" s="203" t="s">
        <v>230</v>
      </c>
    </row>
    <row r="53" spans="1:12">
      <c r="A53" s="148" t="s">
        <v>1636</v>
      </c>
      <c r="B53" s="148" t="s">
        <v>735</v>
      </c>
      <c r="C53" s="149">
        <v>45958</v>
      </c>
      <c r="D53" s="148" t="s">
        <v>51</v>
      </c>
      <c r="E53" s="148" t="s">
        <v>1637</v>
      </c>
      <c r="F53" s="148" t="s">
        <v>1638</v>
      </c>
      <c r="G53" s="150">
        <v>709.08</v>
      </c>
      <c r="H53" s="150">
        <v>399</v>
      </c>
      <c r="I53" s="150">
        <v>1108.08</v>
      </c>
      <c r="J53" s="150">
        <v>0</v>
      </c>
      <c r="K53" s="150">
        <v>1140</v>
      </c>
      <c r="L53" s="203" t="s">
        <v>231</v>
      </c>
    </row>
    <row r="54" spans="1:12">
      <c r="A54" s="148" t="s">
        <v>1639</v>
      </c>
      <c r="B54" s="148" t="s">
        <v>735</v>
      </c>
      <c r="C54" s="149">
        <v>45958</v>
      </c>
      <c r="D54" s="148" t="s">
        <v>51</v>
      </c>
      <c r="E54" s="148" t="s">
        <v>1640</v>
      </c>
      <c r="F54" s="148" t="s">
        <v>1641</v>
      </c>
      <c r="G54" s="150">
        <v>34862.089999999997</v>
      </c>
      <c r="H54" s="150">
        <v>6623.4</v>
      </c>
      <c r="I54" s="150">
        <v>41485.49</v>
      </c>
      <c r="J54" s="150">
        <v>0</v>
      </c>
      <c r="K54" s="150">
        <v>42015.360000000001</v>
      </c>
      <c r="L54" s="203" t="s">
        <v>230</v>
      </c>
    </row>
    <row r="55" spans="1:12">
      <c r="A55" s="148" t="s">
        <v>1642</v>
      </c>
      <c r="B55" s="148" t="s">
        <v>735</v>
      </c>
      <c r="C55" s="149">
        <v>45959</v>
      </c>
      <c r="D55" s="148" t="s">
        <v>51</v>
      </c>
      <c r="E55" s="148" t="s">
        <v>1252</v>
      </c>
      <c r="F55" s="148" t="s">
        <v>1643</v>
      </c>
      <c r="G55" s="150">
        <v>11425.38</v>
      </c>
      <c r="H55" s="150">
        <v>3876</v>
      </c>
      <c r="I55" s="150">
        <v>15301.38</v>
      </c>
      <c r="J55" s="150">
        <v>0</v>
      </c>
      <c r="K55" s="150">
        <v>15611.46</v>
      </c>
      <c r="L55" s="203" t="s">
        <v>230</v>
      </c>
    </row>
    <row r="56" spans="1:12">
      <c r="A56" s="148" t="s">
        <v>1690</v>
      </c>
      <c r="B56" s="148" t="s">
        <v>736</v>
      </c>
      <c r="C56" s="149">
        <v>45965</v>
      </c>
      <c r="D56" s="148" t="s">
        <v>51</v>
      </c>
      <c r="E56" s="148" t="s">
        <v>1691</v>
      </c>
      <c r="F56" s="148" t="s">
        <v>1692</v>
      </c>
      <c r="G56" s="150">
        <v>41965.96</v>
      </c>
      <c r="H56" s="150">
        <v>8515.7999999999993</v>
      </c>
      <c r="I56" s="150">
        <v>50481.760000000002</v>
      </c>
      <c r="J56" s="150">
        <v>0</v>
      </c>
      <c r="K56" s="150">
        <v>51163.02</v>
      </c>
      <c r="L56" s="204" t="s">
        <v>230</v>
      </c>
    </row>
    <row r="57" spans="1:12">
      <c r="A57" s="148" t="s">
        <v>1693</v>
      </c>
      <c r="B57" s="148" t="s">
        <v>736</v>
      </c>
      <c r="C57" s="149">
        <v>45965</v>
      </c>
      <c r="D57" s="148" t="s">
        <v>51</v>
      </c>
      <c r="E57" s="148" t="s">
        <v>1568</v>
      </c>
      <c r="F57" s="148" t="s">
        <v>1694</v>
      </c>
      <c r="G57" s="150">
        <v>2748.12</v>
      </c>
      <c r="H57" s="150">
        <v>114</v>
      </c>
      <c r="I57" s="150">
        <v>2862.12</v>
      </c>
      <c r="J57" s="150">
        <v>0</v>
      </c>
      <c r="K57" s="150">
        <v>2871.24</v>
      </c>
      <c r="L57" s="204" t="s">
        <v>230</v>
      </c>
    </row>
    <row r="58" spans="1:12">
      <c r="A58" s="148" t="s">
        <v>1695</v>
      </c>
      <c r="B58" s="148" t="s">
        <v>736</v>
      </c>
      <c r="C58" s="149">
        <v>45966</v>
      </c>
      <c r="D58" s="148" t="s">
        <v>51</v>
      </c>
      <c r="E58" s="148" t="s">
        <v>1696</v>
      </c>
      <c r="F58" s="148" t="s">
        <v>1697</v>
      </c>
      <c r="G58" s="150">
        <v>329.08</v>
      </c>
      <c r="H58" s="150">
        <v>399</v>
      </c>
      <c r="I58" s="150">
        <v>728.08</v>
      </c>
      <c r="J58" s="150">
        <v>0</v>
      </c>
      <c r="K58" s="150">
        <v>760</v>
      </c>
      <c r="L58" s="204" t="s">
        <v>231</v>
      </c>
    </row>
    <row r="59" spans="1:12">
      <c r="A59" s="148" t="s">
        <v>1698</v>
      </c>
      <c r="B59" s="148" t="s">
        <v>736</v>
      </c>
      <c r="C59" s="149">
        <v>45967</v>
      </c>
      <c r="D59" s="148" t="s">
        <v>51</v>
      </c>
      <c r="E59" s="148" t="s">
        <v>1391</v>
      </c>
      <c r="F59" s="148" t="s">
        <v>1699</v>
      </c>
      <c r="G59" s="150">
        <v>329.08</v>
      </c>
      <c r="H59" s="150">
        <v>399</v>
      </c>
      <c r="I59" s="150">
        <v>728.08</v>
      </c>
      <c r="J59" s="150">
        <v>0</v>
      </c>
      <c r="K59" s="150">
        <v>760</v>
      </c>
      <c r="L59" s="204" t="s">
        <v>231</v>
      </c>
    </row>
    <row r="60" spans="1:12">
      <c r="A60" s="148" t="s">
        <v>1700</v>
      </c>
      <c r="B60" s="148" t="s">
        <v>736</v>
      </c>
      <c r="C60" s="149">
        <v>45967</v>
      </c>
      <c r="D60" s="148" t="s">
        <v>51</v>
      </c>
      <c r="E60" s="148" t="s">
        <v>1696</v>
      </c>
      <c r="F60" s="148" t="s">
        <v>1701</v>
      </c>
      <c r="G60" s="150">
        <v>11035.9</v>
      </c>
      <c r="H60" s="150">
        <v>2941.2</v>
      </c>
      <c r="I60" s="150">
        <v>13977.1</v>
      </c>
      <c r="J60" s="150">
        <v>0</v>
      </c>
      <c r="K60" s="150">
        <v>14212.4</v>
      </c>
      <c r="L60" s="204" t="s">
        <v>230</v>
      </c>
    </row>
    <row r="61" spans="1:12">
      <c r="A61" s="148" t="s">
        <v>1702</v>
      </c>
      <c r="B61" s="148" t="s">
        <v>736</v>
      </c>
      <c r="C61" s="149">
        <v>45967</v>
      </c>
      <c r="D61" s="148" t="s">
        <v>51</v>
      </c>
      <c r="E61" s="148" t="s">
        <v>1703</v>
      </c>
      <c r="F61" s="148" t="s">
        <v>1704</v>
      </c>
      <c r="G61" s="150">
        <v>68958.350000000006</v>
      </c>
      <c r="H61" s="150">
        <v>10066.200000000001</v>
      </c>
      <c r="I61" s="150">
        <v>79024.55</v>
      </c>
      <c r="J61" s="150">
        <v>0</v>
      </c>
      <c r="K61" s="150">
        <v>79829.850000000006</v>
      </c>
      <c r="L61" s="204" t="s">
        <v>230</v>
      </c>
    </row>
    <row r="62" spans="1:12">
      <c r="A62" s="148" t="s">
        <v>1705</v>
      </c>
      <c r="B62" s="148" t="s">
        <v>736</v>
      </c>
      <c r="C62" s="149">
        <v>45976</v>
      </c>
      <c r="D62" s="148" t="s">
        <v>51</v>
      </c>
      <c r="E62" s="148" t="s">
        <v>1706</v>
      </c>
      <c r="F62" s="148" t="s">
        <v>1707</v>
      </c>
      <c r="G62" s="150">
        <v>35372.400000000001</v>
      </c>
      <c r="H62" s="150">
        <v>6414.78</v>
      </c>
      <c r="I62" s="150">
        <v>41787.18</v>
      </c>
      <c r="J62" s="150">
        <v>0</v>
      </c>
      <c r="K62" s="150">
        <v>42300.36</v>
      </c>
      <c r="L62" s="204" t="s">
        <v>230</v>
      </c>
    </row>
    <row r="63" spans="1:12">
      <c r="A63" s="148" t="s">
        <v>1708</v>
      </c>
      <c r="B63" s="148" t="s">
        <v>736</v>
      </c>
      <c r="C63" s="149">
        <v>45981</v>
      </c>
      <c r="D63" s="148" t="s">
        <v>51</v>
      </c>
      <c r="E63" s="148" t="s">
        <v>1709</v>
      </c>
      <c r="F63" s="148" t="s">
        <v>1710</v>
      </c>
      <c r="G63" s="150">
        <v>11346.83</v>
      </c>
      <c r="H63" s="150">
        <v>6965.4</v>
      </c>
      <c r="I63" s="150">
        <v>18312.23</v>
      </c>
      <c r="J63" s="150">
        <v>0</v>
      </c>
      <c r="K63" s="150">
        <v>18869.46</v>
      </c>
      <c r="L63" s="204" t="s">
        <v>230</v>
      </c>
    </row>
    <row r="64" spans="1:12">
      <c r="A64" s="148" t="s">
        <v>1752</v>
      </c>
      <c r="B64" s="148" t="s">
        <v>737</v>
      </c>
      <c r="C64" s="149">
        <v>45992</v>
      </c>
      <c r="D64" s="148" t="s">
        <v>51</v>
      </c>
      <c r="E64" s="148" t="s">
        <v>1753</v>
      </c>
      <c r="F64" s="148" t="s">
        <v>1754</v>
      </c>
      <c r="G64" s="150">
        <v>51636.82</v>
      </c>
      <c r="H64" s="150">
        <v>4651.2</v>
      </c>
      <c r="I64" s="150">
        <v>56288.02</v>
      </c>
      <c r="J64" s="150">
        <v>0</v>
      </c>
      <c r="K64" s="150">
        <v>56660.12</v>
      </c>
      <c r="L64" s="205" t="s">
        <v>230</v>
      </c>
    </row>
    <row r="65" spans="1:12">
      <c r="A65" s="148" t="s">
        <v>1755</v>
      </c>
      <c r="B65" s="148" t="s">
        <v>737</v>
      </c>
      <c r="C65" s="149">
        <v>46008</v>
      </c>
      <c r="D65" s="148" t="s">
        <v>51</v>
      </c>
      <c r="E65" s="148" t="s">
        <v>1756</v>
      </c>
      <c r="F65" s="148" t="s">
        <v>1757</v>
      </c>
      <c r="G65" s="150">
        <v>15892.86</v>
      </c>
      <c r="H65" s="150">
        <v>3910.2</v>
      </c>
      <c r="I65" s="150">
        <v>19803.060000000001</v>
      </c>
      <c r="J65" s="150">
        <v>0</v>
      </c>
      <c r="K65" s="150">
        <v>20115.88</v>
      </c>
      <c r="L65" s="205" t="s">
        <v>230</v>
      </c>
    </row>
    <row r="66" spans="1:12">
      <c r="A66" s="209" t="s">
        <v>1801</v>
      </c>
      <c r="B66" s="209" t="s">
        <v>737</v>
      </c>
      <c r="C66" s="149">
        <v>46018</v>
      </c>
      <c r="D66" s="148" t="s">
        <v>51</v>
      </c>
      <c r="E66" s="209" t="s">
        <v>1802</v>
      </c>
      <c r="F66" s="209" t="s">
        <v>1803</v>
      </c>
      <c r="G66" s="207">
        <v>15263.94</v>
      </c>
      <c r="H66" s="207">
        <v>10054.799999999999</v>
      </c>
      <c r="I66" s="207">
        <v>25318.74</v>
      </c>
      <c r="J66" s="208">
        <v>0</v>
      </c>
      <c r="K66" s="206">
        <v>26123.119999999999</v>
      </c>
      <c r="L66" s="210" t="s">
        <v>230</v>
      </c>
    </row>
    <row r="67" spans="1:12">
      <c r="A67" s="148"/>
      <c r="B67" s="148"/>
      <c r="C67" s="149"/>
      <c r="D67" s="148"/>
      <c r="E67" s="148"/>
      <c r="F67" s="148"/>
      <c r="G67" s="150"/>
      <c r="H67" s="150"/>
      <c r="I67" s="150"/>
      <c r="J67" s="150"/>
      <c r="K67" s="150"/>
      <c r="L67" s="203"/>
    </row>
    <row r="68" spans="1:12">
      <c r="A68" s="148"/>
      <c r="B68" s="148"/>
      <c r="C68" s="149"/>
      <c r="D68" s="148"/>
      <c r="E68" s="148"/>
      <c r="F68" s="148"/>
      <c r="G68" s="150"/>
      <c r="H68" s="150"/>
      <c r="I68" s="150"/>
      <c r="J68" s="150"/>
      <c r="K68" s="150"/>
      <c r="L68" s="203"/>
    </row>
    <row r="69" spans="1:12">
      <c r="A69" s="148"/>
      <c r="B69" s="148"/>
      <c r="C69" s="149"/>
      <c r="D69" s="148"/>
      <c r="E69" s="148"/>
      <c r="F69" s="148"/>
      <c r="G69" s="150"/>
      <c r="H69" s="150"/>
      <c r="I69" s="150"/>
      <c r="J69" s="150"/>
      <c r="K69" s="150"/>
      <c r="L69" s="203"/>
    </row>
    <row r="70" spans="1:12">
      <c r="A70" s="148"/>
      <c r="B70" s="148"/>
      <c r="C70" s="149"/>
      <c r="D70" s="148"/>
      <c r="E70" s="148"/>
      <c r="F70" s="148"/>
      <c r="G70" s="150"/>
      <c r="H70" s="150"/>
      <c r="I70" s="150"/>
      <c r="J70" s="150"/>
      <c r="K70" s="150"/>
      <c r="L70" s="203"/>
    </row>
    <row r="71" spans="1:12">
      <c r="A71" s="148"/>
      <c r="B71" s="148"/>
      <c r="C71" s="149"/>
      <c r="D71" s="148"/>
      <c r="E71" s="148"/>
      <c r="F71" s="148"/>
      <c r="G71" s="150"/>
      <c r="H71" s="150"/>
      <c r="I71" s="150"/>
      <c r="J71" s="150"/>
      <c r="K71" s="150"/>
      <c r="L71" s="203"/>
    </row>
    <row r="73" spans="1:12" ht="15.75" thickBot="1">
      <c r="I73" s="129">
        <f>SUM(I2:I66)-I34</f>
        <v>1636192.76</v>
      </c>
    </row>
    <row r="74" spans="1:12" ht="15.75" thickTop="1"/>
    <row r="75" spans="1:12">
      <c r="A75" t="s">
        <v>893</v>
      </c>
    </row>
    <row r="76" spans="1:12">
      <c r="A76" t="s">
        <v>229</v>
      </c>
      <c r="B76" s="146" t="s">
        <v>856</v>
      </c>
      <c r="C76" t="s">
        <v>228</v>
      </c>
      <c r="D76" s="105" t="s">
        <v>227</v>
      </c>
      <c r="E76" t="s">
        <v>894</v>
      </c>
      <c r="F76" t="s">
        <v>29</v>
      </c>
      <c r="G76" s="50" t="s">
        <v>1582</v>
      </c>
      <c r="H76" t="s">
        <v>895</v>
      </c>
    </row>
    <row r="77" spans="1:12">
      <c r="A77" t="s">
        <v>1154</v>
      </c>
      <c r="B77" s="146" t="s">
        <v>728</v>
      </c>
      <c r="C77" s="105">
        <v>45678</v>
      </c>
      <c r="D77" s="105" t="s">
        <v>51</v>
      </c>
      <c r="E77" t="s">
        <v>1155</v>
      </c>
      <c r="F77" s="50">
        <v>950</v>
      </c>
      <c r="H77" s="50">
        <v>950</v>
      </c>
      <c r="I77" s="147" t="s">
        <v>230</v>
      </c>
      <c r="J77" s="147" t="s">
        <v>726</v>
      </c>
    </row>
    <row r="78" spans="1:12">
      <c r="A78" t="s">
        <v>1156</v>
      </c>
      <c r="B78" s="146" t="s">
        <v>729</v>
      </c>
      <c r="C78" s="105">
        <v>45692</v>
      </c>
      <c r="D78" s="105" t="s">
        <v>51</v>
      </c>
      <c r="E78" t="s">
        <v>1126</v>
      </c>
      <c r="F78" s="50">
        <v>2280</v>
      </c>
      <c r="H78" s="50">
        <v>2280</v>
      </c>
      <c r="I78" s="147" t="s">
        <v>230</v>
      </c>
      <c r="J78" s="147" t="s">
        <v>726</v>
      </c>
    </row>
    <row r="79" spans="1:12">
      <c r="A79" t="s">
        <v>1201</v>
      </c>
      <c r="B79" s="157" t="s">
        <v>730</v>
      </c>
      <c r="C79" s="105">
        <v>45757</v>
      </c>
      <c r="D79" s="105" t="s">
        <v>51</v>
      </c>
      <c r="E79" s="105" t="s">
        <v>1155</v>
      </c>
      <c r="F79" s="50">
        <v>1957</v>
      </c>
      <c r="H79" s="50">
        <v>1957</v>
      </c>
      <c r="I79" s="50" t="s">
        <v>230</v>
      </c>
      <c r="J79" s="50" t="s">
        <v>726</v>
      </c>
    </row>
    <row r="80" spans="1:12">
      <c r="A80" t="s">
        <v>1202</v>
      </c>
      <c r="B80" s="157" t="s">
        <v>730</v>
      </c>
      <c r="C80" s="105">
        <v>45770</v>
      </c>
      <c r="D80" s="105" t="s">
        <v>51</v>
      </c>
      <c r="E80" s="105" t="s">
        <v>205</v>
      </c>
      <c r="F80" s="50">
        <v>950</v>
      </c>
      <c r="H80" s="50">
        <v>950</v>
      </c>
      <c r="I80" s="50" t="s">
        <v>230</v>
      </c>
      <c r="J80" s="50" t="s">
        <v>726</v>
      </c>
    </row>
    <row r="81" spans="1:10" s="148" customFormat="1">
      <c r="A81" s="148" t="s">
        <v>1291</v>
      </c>
      <c r="B81" s="148" t="s">
        <v>731</v>
      </c>
      <c r="C81" s="149">
        <v>45786</v>
      </c>
      <c r="D81" s="148" t="s">
        <v>51</v>
      </c>
      <c r="E81" s="148" t="s">
        <v>1252</v>
      </c>
      <c r="F81" s="148">
        <v>6615.37</v>
      </c>
      <c r="H81" s="148">
        <v>6615.37</v>
      </c>
      <c r="I81" s="148" t="s">
        <v>230</v>
      </c>
    </row>
    <row r="82" spans="1:10" s="148" customFormat="1">
      <c r="A82" s="148" t="s">
        <v>1393</v>
      </c>
      <c r="B82" s="148" t="s">
        <v>732</v>
      </c>
      <c r="C82" s="149">
        <v>45820</v>
      </c>
      <c r="D82" s="148" t="s">
        <v>51</v>
      </c>
      <c r="E82" s="148" t="s">
        <v>1388</v>
      </c>
      <c r="F82" s="150">
        <v>2280</v>
      </c>
      <c r="H82" s="150">
        <v>2280</v>
      </c>
      <c r="I82" s="148" t="s">
        <v>230</v>
      </c>
    </row>
    <row r="83" spans="1:10" s="148" customFormat="1">
      <c r="A83" s="148" t="s">
        <v>1394</v>
      </c>
      <c r="B83" s="148" t="s">
        <v>732</v>
      </c>
      <c r="C83" s="149">
        <v>45820</v>
      </c>
      <c r="D83" s="148" t="s">
        <v>51</v>
      </c>
      <c r="E83" s="148" t="s">
        <v>1395</v>
      </c>
      <c r="F83" s="150">
        <v>1180</v>
      </c>
      <c r="H83" s="150">
        <v>1180</v>
      </c>
      <c r="I83" s="148" t="s">
        <v>230</v>
      </c>
    </row>
    <row r="84" spans="1:10" s="148" customFormat="1">
      <c r="A84" s="148" t="s">
        <v>1396</v>
      </c>
      <c r="B84" s="148" t="s">
        <v>732</v>
      </c>
      <c r="C84" s="149">
        <v>45825</v>
      </c>
      <c r="D84" s="148" t="s">
        <v>51</v>
      </c>
      <c r="E84" s="148" t="s">
        <v>121</v>
      </c>
      <c r="F84" s="150">
        <v>1550</v>
      </c>
      <c r="H84" s="150">
        <v>1550</v>
      </c>
      <c r="I84" s="148" t="s">
        <v>230</v>
      </c>
    </row>
    <row r="85" spans="1:10" s="148" customFormat="1">
      <c r="A85" s="148" t="s">
        <v>1397</v>
      </c>
      <c r="B85" s="148" t="s">
        <v>732</v>
      </c>
      <c r="C85" s="149">
        <v>45832</v>
      </c>
      <c r="D85" s="148" t="s">
        <v>51</v>
      </c>
      <c r="E85" s="148" t="s">
        <v>1398</v>
      </c>
      <c r="F85" s="150">
        <v>1368</v>
      </c>
      <c r="H85" s="150">
        <v>1368</v>
      </c>
      <c r="I85" s="148" t="s">
        <v>230</v>
      </c>
    </row>
    <row r="86" spans="1:10">
      <c r="A86" s="148" t="s">
        <v>1434</v>
      </c>
      <c r="B86" s="148" t="s">
        <v>13</v>
      </c>
      <c r="C86" s="149">
        <v>45847</v>
      </c>
      <c r="D86" s="148" t="s">
        <v>51</v>
      </c>
      <c r="E86" s="148" t="s">
        <v>121</v>
      </c>
      <c r="F86" s="150">
        <v>2261</v>
      </c>
      <c r="H86" s="150">
        <v>2261</v>
      </c>
      <c r="I86" s="50" t="s">
        <v>230</v>
      </c>
    </row>
    <row r="87" spans="1:10">
      <c r="A87" s="148" t="s">
        <v>1435</v>
      </c>
      <c r="B87" s="148" t="s">
        <v>13</v>
      </c>
      <c r="C87" s="149">
        <v>45869</v>
      </c>
      <c r="D87" s="148" t="s">
        <v>51</v>
      </c>
      <c r="E87" s="148" t="s">
        <v>1436</v>
      </c>
      <c r="F87" s="150">
        <v>7.56</v>
      </c>
      <c r="H87" s="199">
        <v>7.56</v>
      </c>
      <c r="I87" s="50" t="s">
        <v>1437</v>
      </c>
    </row>
    <row r="88" spans="1:10">
      <c r="A88" s="148" t="s">
        <v>1578</v>
      </c>
      <c r="B88" s="148" t="s">
        <v>734</v>
      </c>
      <c r="C88" s="149">
        <v>45904</v>
      </c>
      <c r="D88" s="148" t="s">
        <v>1579</v>
      </c>
      <c r="E88" s="148"/>
      <c r="F88" s="150">
        <v>5800</v>
      </c>
      <c r="G88" s="50">
        <v>500</v>
      </c>
      <c r="H88" s="150">
        <f>F88+G88</f>
        <v>6300</v>
      </c>
      <c r="I88" s="50" t="s">
        <v>1581</v>
      </c>
      <c r="J88" s="50" t="s">
        <v>26</v>
      </c>
    </row>
    <row r="89" spans="1:10">
      <c r="A89" s="148" t="s">
        <v>1580</v>
      </c>
      <c r="B89" s="148" t="s">
        <v>734</v>
      </c>
      <c r="C89" s="149">
        <v>45926</v>
      </c>
      <c r="D89" s="148" t="s">
        <v>51</v>
      </c>
      <c r="E89" s="148" t="s">
        <v>1395</v>
      </c>
      <c r="F89" s="150">
        <v>3935</v>
      </c>
      <c r="H89" s="150">
        <v>3935</v>
      </c>
      <c r="I89" s="50" t="s">
        <v>230</v>
      </c>
    </row>
    <row r="90" spans="1:10">
      <c r="A90" s="148" t="s">
        <v>1711</v>
      </c>
      <c r="B90" s="148" t="s">
        <v>736</v>
      </c>
      <c r="C90" s="149">
        <v>45974</v>
      </c>
      <c r="D90" s="148" t="s">
        <v>51</v>
      </c>
      <c r="E90" s="148" t="s">
        <v>1712</v>
      </c>
      <c r="F90" s="150">
        <v>7050</v>
      </c>
      <c r="H90" s="150">
        <v>7050</v>
      </c>
      <c r="I90" s="50" t="s">
        <v>230</v>
      </c>
    </row>
    <row r="91" spans="1:10">
      <c r="A91" s="148" t="s">
        <v>1713</v>
      </c>
      <c r="B91" s="148" t="s">
        <v>736</v>
      </c>
      <c r="C91" s="149">
        <v>45974</v>
      </c>
      <c r="D91" s="148" t="s">
        <v>51</v>
      </c>
      <c r="E91" s="148" t="s">
        <v>1714</v>
      </c>
      <c r="F91" s="150">
        <v>2470</v>
      </c>
      <c r="H91" s="150">
        <v>2470</v>
      </c>
      <c r="I91" s="50" t="s">
        <v>230</v>
      </c>
    </row>
    <row r="92" spans="1:10">
      <c r="A92" s="148" t="s">
        <v>1758</v>
      </c>
      <c r="B92" s="148" t="s">
        <v>737</v>
      </c>
      <c r="C92" s="149">
        <v>45995</v>
      </c>
      <c r="D92" s="148" t="s">
        <v>51</v>
      </c>
      <c r="E92" s="148" t="s">
        <v>1759</v>
      </c>
      <c r="F92" s="150">
        <v>950</v>
      </c>
      <c r="G92" s="150"/>
      <c r="H92" s="150">
        <v>950</v>
      </c>
      <c r="I92" s="50" t="s">
        <v>230</v>
      </c>
    </row>
    <row r="94" spans="1:10" ht="15.75" thickBot="1">
      <c r="H94" s="129">
        <f>SUM(H77:H91)-H87+H92</f>
        <v>42096.37</v>
      </c>
    </row>
    <row r="95" spans="1:10" ht="15.75" thickTop="1"/>
  </sheetData>
  <autoFilter ref="A1:L63" xr:uid="{8AC1C805-6A61-4BFD-B158-18BEA8A04115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55984-1A36-4EC0-AC76-C6AEF9CFB136}">
  <dimension ref="A1:P27"/>
  <sheetViews>
    <sheetView workbookViewId="0">
      <selection activeCell="M21" sqref="M21"/>
    </sheetView>
  </sheetViews>
  <sheetFormatPr defaultRowHeight="15"/>
  <cols>
    <col min="1" max="1" width="13.28515625" bestFit="1" customWidth="1"/>
    <col min="2" max="2" width="13.28515625" customWidth="1"/>
    <col min="3" max="3" width="11.140625" customWidth="1"/>
    <col min="4" max="4" width="33.5703125" customWidth="1"/>
    <col min="5" max="5" width="14.5703125" customWidth="1"/>
    <col min="6" max="6" width="15" bestFit="1" customWidth="1"/>
    <col min="7" max="7" width="11" style="50" bestFit="1" customWidth="1"/>
    <col min="8" max="8" width="16.7109375" style="50" customWidth="1"/>
    <col min="9" max="9" width="17.5703125" style="50" customWidth="1"/>
    <col min="10" max="10" width="11" style="50" customWidth="1"/>
    <col min="11" max="11" width="12.5703125" style="50" bestFit="1" customWidth="1"/>
  </cols>
  <sheetData>
    <row r="1" spans="1:16">
      <c r="A1" t="s">
        <v>229</v>
      </c>
      <c r="B1" s="146" t="s">
        <v>856</v>
      </c>
      <c r="C1" s="105" t="s">
        <v>228</v>
      </c>
      <c r="D1" t="s">
        <v>227</v>
      </c>
      <c r="E1" t="s">
        <v>226</v>
      </c>
      <c r="F1" t="s">
        <v>225</v>
      </c>
      <c r="G1" s="50" t="s">
        <v>224</v>
      </c>
      <c r="H1" s="50" t="s">
        <v>223</v>
      </c>
      <c r="I1" s="50" t="s">
        <v>222</v>
      </c>
      <c r="J1" s="50" t="s">
        <v>1644</v>
      </c>
      <c r="K1" s="50" t="s">
        <v>29</v>
      </c>
      <c r="L1" s="146" t="s">
        <v>725</v>
      </c>
    </row>
    <row r="2" spans="1:16">
      <c r="A2" s="148" t="s">
        <v>1825</v>
      </c>
      <c r="B2" t="s">
        <v>1813</v>
      </c>
      <c r="C2" s="149">
        <v>46288</v>
      </c>
      <c r="D2" s="148" t="s">
        <v>752</v>
      </c>
      <c r="E2" s="148" t="s">
        <v>1826</v>
      </c>
      <c r="F2" s="148" t="s">
        <v>1827</v>
      </c>
      <c r="G2" s="150">
        <v>248.84</v>
      </c>
      <c r="H2" s="150">
        <v>88</v>
      </c>
      <c r="I2" s="150">
        <f>+G2+H2+0.02</f>
        <v>336.86</v>
      </c>
      <c r="J2" s="150">
        <v>0</v>
      </c>
      <c r="K2" s="150">
        <f>+I2</f>
        <v>336.86</v>
      </c>
      <c r="L2" t="s">
        <v>232</v>
      </c>
    </row>
    <row r="3" spans="1:16">
      <c r="A3" s="148" t="s">
        <v>1828</v>
      </c>
      <c r="B3" t="s">
        <v>1813</v>
      </c>
      <c r="C3" s="149">
        <v>46289</v>
      </c>
      <c r="D3" s="148" t="s">
        <v>775</v>
      </c>
      <c r="E3" s="148" t="s">
        <v>1829</v>
      </c>
      <c r="F3" s="148" t="s">
        <v>1830</v>
      </c>
      <c r="G3" s="150">
        <v>300.8</v>
      </c>
      <c r="H3" s="150">
        <v>224</v>
      </c>
      <c r="I3" s="150">
        <f>+G3+H3</f>
        <v>524.79999999999995</v>
      </c>
      <c r="J3" s="150">
        <v>0</v>
      </c>
      <c r="K3" s="150">
        <f>+I3</f>
        <v>524.79999999999995</v>
      </c>
      <c r="L3" t="s">
        <v>232</v>
      </c>
    </row>
    <row r="4" spans="1:16">
      <c r="A4" s="148"/>
      <c r="C4" s="149"/>
      <c r="D4" s="148"/>
      <c r="E4" s="148"/>
      <c r="F4" s="148"/>
      <c r="G4" s="150"/>
      <c r="H4" s="150"/>
      <c r="I4" s="150"/>
      <c r="J4" s="150"/>
      <c r="K4" s="150"/>
    </row>
    <row r="5" spans="1:16">
      <c r="A5" s="148"/>
      <c r="C5" s="149"/>
      <c r="D5" s="148"/>
      <c r="E5" s="148"/>
      <c r="G5" s="150"/>
      <c r="H5" s="150"/>
      <c r="I5" s="150"/>
      <c r="K5" s="150"/>
    </row>
    <row r="6" spans="1:16">
      <c r="A6" s="148"/>
      <c r="C6" s="149"/>
      <c r="D6" s="148"/>
      <c r="E6" s="148"/>
      <c r="G6" s="150"/>
      <c r="H6" s="150"/>
      <c r="I6" s="150"/>
      <c r="K6" s="150"/>
    </row>
    <row r="7" spans="1:16">
      <c r="A7" s="148"/>
      <c r="C7" s="149"/>
      <c r="D7" s="148"/>
      <c r="E7" s="148"/>
      <c r="G7" s="150"/>
      <c r="H7" s="150"/>
      <c r="I7" s="150"/>
      <c r="K7" s="150"/>
    </row>
    <row r="8" spans="1:16">
      <c r="A8" s="214"/>
      <c r="C8" s="149"/>
      <c r="D8" s="148"/>
      <c r="E8" s="214"/>
      <c r="F8" s="215"/>
      <c r="G8" s="150"/>
      <c r="H8" s="150"/>
      <c r="I8" s="150"/>
      <c r="K8" s="150"/>
    </row>
    <row r="9" spans="1:16">
      <c r="A9" s="214"/>
      <c r="C9" s="149"/>
      <c r="D9" s="148"/>
      <c r="E9" s="214"/>
      <c r="F9" s="215"/>
      <c r="G9" s="150"/>
      <c r="H9" s="150"/>
      <c r="I9" s="150"/>
      <c r="K9" s="150"/>
      <c r="L9" s="215"/>
      <c r="O9" s="121"/>
      <c r="P9" s="222" t="s">
        <v>1811</v>
      </c>
    </row>
    <row r="10" spans="1:16">
      <c r="A10" s="148"/>
      <c r="C10" s="149"/>
      <c r="D10" s="148"/>
      <c r="E10" s="148"/>
      <c r="G10" s="150"/>
      <c r="H10" s="150"/>
      <c r="I10" s="150"/>
      <c r="K10" s="150"/>
    </row>
    <row r="11" spans="1:16" ht="15.75" thickBot="1">
      <c r="G11" s="213">
        <f>SUM(G2:G10)</f>
        <v>549.64</v>
      </c>
      <c r="H11" s="213">
        <f t="shared" ref="H11:K11" si="0">SUM(H2:H10)</f>
        <v>312</v>
      </c>
      <c r="I11" s="213">
        <f t="shared" si="0"/>
        <v>861.66</v>
      </c>
      <c r="J11" s="213">
        <f t="shared" si="0"/>
        <v>0</v>
      </c>
      <c r="K11" s="213">
        <f t="shared" si="0"/>
        <v>861.66</v>
      </c>
    </row>
    <row r="12" spans="1:16" ht="15.75" thickTop="1"/>
    <row r="22" spans="1:9">
      <c r="A22" s="181" t="s">
        <v>893</v>
      </c>
      <c r="C22" s="105"/>
    </row>
    <row r="23" spans="1:9">
      <c r="A23" t="s">
        <v>229</v>
      </c>
      <c r="B23" s="146" t="s">
        <v>856</v>
      </c>
      <c r="C23" t="s">
        <v>228</v>
      </c>
      <c r="D23" s="105" t="s">
        <v>227</v>
      </c>
      <c r="E23" t="s">
        <v>894</v>
      </c>
      <c r="F23" t="s">
        <v>29</v>
      </c>
      <c r="G23" s="50" t="s">
        <v>1582</v>
      </c>
      <c r="H23" s="50" t="s">
        <v>895</v>
      </c>
      <c r="I23" s="50" t="s">
        <v>725</v>
      </c>
    </row>
    <row r="24" spans="1:9">
      <c r="A24" s="148"/>
      <c r="C24" s="149"/>
      <c r="D24" s="148"/>
      <c r="E24" s="148"/>
      <c r="F24" s="206"/>
    </row>
    <row r="26" spans="1:9" ht="15.75" thickBot="1">
      <c r="H26" s="213">
        <f>SUM(H24:H25)</f>
        <v>0</v>
      </c>
    </row>
    <row r="27" spans="1:9" ht="15.75" thickTop="1"/>
  </sheetData>
  <phoneticPr fontId="5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AF5E1-855E-4B9E-8AFA-02C4B685C046}">
  <dimension ref="A1:L19"/>
  <sheetViews>
    <sheetView workbookViewId="0">
      <selection activeCell="M21" sqref="M21"/>
    </sheetView>
  </sheetViews>
  <sheetFormatPr defaultRowHeight="15"/>
  <cols>
    <col min="1" max="1" width="13.28515625" bestFit="1" customWidth="1"/>
    <col min="2" max="2" width="13.28515625" customWidth="1"/>
    <col min="3" max="3" width="11.140625" customWidth="1"/>
    <col min="4" max="4" width="33.5703125" customWidth="1"/>
    <col min="5" max="5" width="14.5703125" customWidth="1"/>
    <col min="6" max="6" width="15" bestFit="1" customWidth="1"/>
    <col min="7" max="7" width="11" style="50" bestFit="1" customWidth="1"/>
    <col min="8" max="8" width="16.7109375" style="50" customWidth="1"/>
    <col min="9" max="9" width="17.5703125" style="50" customWidth="1"/>
    <col min="10" max="10" width="11" style="50" customWidth="1"/>
    <col min="11" max="11" width="12.5703125" style="50" bestFit="1" customWidth="1"/>
  </cols>
  <sheetData>
    <row r="1" spans="1:12">
      <c r="A1" t="s">
        <v>229</v>
      </c>
      <c r="B1" s="146" t="s">
        <v>856</v>
      </c>
      <c r="C1" s="105" t="s">
        <v>228</v>
      </c>
      <c r="D1" t="s">
        <v>227</v>
      </c>
      <c r="E1" t="s">
        <v>226</v>
      </c>
      <c r="F1" t="s">
        <v>225</v>
      </c>
      <c r="G1" s="50" t="s">
        <v>224</v>
      </c>
      <c r="H1" s="50" t="s">
        <v>223</v>
      </c>
      <c r="I1" s="50" t="s">
        <v>222</v>
      </c>
      <c r="J1" s="50" t="s">
        <v>1644</v>
      </c>
      <c r="K1" s="50" t="s">
        <v>29</v>
      </c>
      <c r="L1" s="146" t="s">
        <v>725</v>
      </c>
    </row>
    <row r="2" spans="1:12">
      <c r="A2" s="148" t="s">
        <v>1812</v>
      </c>
      <c r="B2" t="s">
        <v>1813</v>
      </c>
      <c r="C2" s="149">
        <v>46269</v>
      </c>
      <c r="D2" s="148" t="s">
        <v>51</v>
      </c>
      <c r="E2" s="148" t="s">
        <v>1814</v>
      </c>
      <c r="F2" s="148" t="s">
        <v>1815</v>
      </c>
      <c r="G2" s="150">
        <v>59446.52</v>
      </c>
      <c r="H2" s="150">
        <v>5814</v>
      </c>
      <c r="I2" s="150">
        <f>+G2+H2</f>
        <v>65260.52</v>
      </c>
      <c r="J2" s="150">
        <v>0</v>
      </c>
      <c r="K2" s="150">
        <f>+I2</f>
        <v>65260.52</v>
      </c>
      <c r="L2" t="s">
        <v>230</v>
      </c>
    </row>
    <row r="3" spans="1:12">
      <c r="A3" s="148" t="s">
        <v>1834</v>
      </c>
      <c r="B3" t="s">
        <v>1813</v>
      </c>
      <c r="C3" s="149">
        <v>46289</v>
      </c>
      <c r="D3" s="148" t="s">
        <v>51</v>
      </c>
      <c r="E3" s="148" t="s">
        <v>1836</v>
      </c>
      <c r="F3" s="148" t="s">
        <v>1835</v>
      </c>
      <c r="G3" s="150">
        <v>994.08</v>
      </c>
      <c r="H3" s="150">
        <v>399</v>
      </c>
      <c r="I3" s="150">
        <f>+G3+H3</f>
        <v>1393.08</v>
      </c>
      <c r="J3" s="150">
        <v>0</v>
      </c>
      <c r="K3" s="150">
        <f t="shared" ref="K3:K9" si="0">+I3</f>
        <v>1393.08</v>
      </c>
      <c r="L3" t="s">
        <v>231</v>
      </c>
    </row>
    <row r="4" spans="1:12">
      <c r="A4" s="148" t="s">
        <v>1849</v>
      </c>
      <c r="B4" t="s">
        <v>1813</v>
      </c>
      <c r="C4" s="149">
        <v>46291</v>
      </c>
      <c r="D4" s="148" t="s">
        <v>51</v>
      </c>
      <c r="E4" s="148" t="s">
        <v>1850</v>
      </c>
      <c r="F4" s="148" t="s">
        <v>1851</v>
      </c>
      <c r="G4" s="150">
        <v>0</v>
      </c>
      <c r="H4" s="150">
        <v>0</v>
      </c>
      <c r="I4" s="150">
        <f>+G4+H4</f>
        <v>0</v>
      </c>
      <c r="J4" s="150">
        <v>0</v>
      </c>
      <c r="K4" s="150">
        <f t="shared" si="0"/>
        <v>0</v>
      </c>
      <c r="L4" s="222" t="s">
        <v>41</v>
      </c>
    </row>
    <row r="5" spans="1:12">
      <c r="A5" s="148"/>
      <c r="C5" s="149"/>
      <c r="D5" s="148"/>
      <c r="E5" s="148"/>
      <c r="G5" s="150"/>
      <c r="H5" s="150"/>
      <c r="I5" s="150"/>
      <c r="J5" s="50">
        <v>0</v>
      </c>
      <c r="K5" s="150">
        <f t="shared" si="0"/>
        <v>0</v>
      </c>
    </row>
    <row r="6" spans="1:12">
      <c r="A6" s="148"/>
      <c r="C6" s="149"/>
      <c r="D6" s="148"/>
      <c r="E6" s="148"/>
      <c r="G6" s="150"/>
      <c r="H6" s="150"/>
      <c r="I6" s="150"/>
      <c r="J6" s="50">
        <v>0</v>
      </c>
      <c r="K6" s="150">
        <f t="shared" si="0"/>
        <v>0</v>
      </c>
    </row>
    <row r="7" spans="1:12">
      <c r="A7" s="148"/>
      <c r="C7" s="149"/>
      <c r="D7" s="148"/>
      <c r="E7" s="148"/>
      <c r="G7" s="150"/>
      <c r="H7" s="150"/>
      <c r="I7" s="150"/>
      <c r="J7" s="50">
        <v>0</v>
      </c>
      <c r="K7" s="150">
        <f t="shared" si="0"/>
        <v>0</v>
      </c>
    </row>
    <row r="8" spans="1:12">
      <c r="A8" s="214"/>
      <c r="C8" s="149"/>
      <c r="D8" s="148"/>
      <c r="E8" s="214"/>
      <c r="F8" s="215"/>
      <c r="G8" s="150"/>
      <c r="H8" s="150"/>
      <c r="I8" s="150"/>
      <c r="J8" s="50">
        <v>0</v>
      </c>
      <c r="K8" s="150">
        <f t="shared" si="0"/>
        <v>0</v>
      </c>
    </row>
    <row r="9" spans="1:12">
      <c r="A9" s="214"/>
      <c r="C9" s="149"/>
      <c r="D9" s="148"/>
      <c r="E9" s="214"/>
      <c r="F9" s="215"/>
      <c r="G9" s="150"/>
      <c r="H9" s="150"/>
      <c r="I9" s="150"/>
      <c r="J9" s="50">
        <v>0</v>
      </c>
      <c r="K9" s="150">
        <f t="shared" si="0"/>
        <v>0</v>
      </c>
      <c r="L9" s="215"/>
    </row>
    <row r="10" spans="1:12">
      <c r="A10" s="148"/>
      <c r="C10" s="149"/>
      <c r="D10" s="148"/>
      <c r="E10" s="148"/>
      <c r="G10" s="150"/>
      <c r="H10" s="150"/>
      <c r="I10" s="150"/>
      <c r="K10" s="150"/>
    </row>
    <row r="11" spans="1:12" ht="15.75" thickBot="1">
      <c r="G11" s="213">
        <f>SUM(G2:G10)</f>
        <v>60440.6</v>
      </c>
      <c r="H11" s="213">
        <f t="shared" ref="H11:K11" si="1">SUM(H2:H10)</f>
        <v>6213</v>
      </c>
      <c r="I11" s="213">
        <f t="shared" si="1"/>
        <v>66653.599999999991</v>
      </c>
      <c r="J11" s="213">
        <f t="shared" si="1"/>
        <v>0</v>
      </c>
      <c r="K11" s="213">
        <f t="shared" si="1"/>
        <v>66653.599999999991</v>
      </c>
    </row>
    <row r="12" spans="1:12" ht="15.75" thickTop="1"/>
    <row r="17" spans="1:11">
      <c r="A17" t="s">
        <v>893</v>
      </c>
      <c r="C17" s="105"/>
    </row>
    <row r="18" spans="1:11">
      <c r="A18" t="s">
        <v>229</v>
      </c>
      <c r="B18" s="146" t="s">
        <v>856</v>
      </c>
      <c r="C18" s="105" t="s">
        <v>228</v>
      </c>
      <c r="D18" s="105" t="s">
        <v>227</v>
      </c>
      <c r="E18" t="s">
        <v>894</v>
      </c>
      <c r="F18" t="s">
        <v>29</v>
      </c>
      <c r="G18" t="s">
        <v>1582</v>
      </c>
      <c r="H18" t="s">
        <v>895</v>
      </c>
      <c r="I18" s="50" t="s">
        <v>725</v>
      </c>
    </row>
    <row r="19" spans="1:11">
      <c r="A19" s="148" t="s">
        <v>1837</v>
      </c>
      <c r="B19" t="s">
        <v>1813</v>
      </c>
      <c r="C19" s="149">
        <v>46291</v>
      </c>
      <c r="D19" s="148" t="s">
        <v>51</v>
      </c>
      <c r="E19" s="237" t="s">
        <v>1838</v>
      </c>
      <c r="F19" s="206">
        <v>3515</v>
      </c>
      <c r="G19" s="50">
        <v>0</v>
      </c>
      <c r="H19" s="50">
        <f>+F19+G19</f>
        <v>3515</v>
      </c>
      <c r="I19" s="238" t="s">
        <v>1839</v>
      </c>
      <c r="J19"/>
      <c r="K19"/>
    </row>
  </sheetData>
  <phoneticPr fontId="4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6296F-3558-4657-B9B6-F01109CB7E70}">
  <dimension ref="A1:M200"/>
  <sheetViews>
    <sheetView topLeftCell="A157" workbookViewId="0">
      <selection activeCell="D93" sqref="D93"/>
    </sheetView>
  </sheetViews>
  <sheetFormatPr defaultRowHeight="15"/>
  <cols>
    <col min="1" max="1" width="13.7109375" bestFit="1" customWidth="1"/>
    <col min="2" max="2" width="9.5703125" customWidth="1"/>
    <col min="3" max="3" width="11.5703125" style="105" customWidth="1"/>
    <col min="4" max="4" width="42.5703125" customWidth="1"/>
    <col min="5" max="5" width="14.5703125" bestFit="1" customWidth="1"/>
    <col min="6" max="6" width="15.42578125" bestFit="1" customWidth="1"/>
    <col min="7" max="7" width="10.140625" style="50" bestFit="1" customWidth="1"/>
    <col min="8" max="8" width="10" style="50" bestFit="1" customWidth="1"/>
    <col min="9" max="9" width="12.5703125" style="50" bestFit="1" customWidth="1"/>
    <col min="10" max="10" width="10.140625" style="50" customWidth="1"/>
    <col min="11" max="11" width="11.140625" style="50" bestFit="1" customWidth="1"/>
  </cols>
  <sheetData>
    <row r="1" spans="1:13">
      <c r="A1" t="s">
        <v>229</v>
      </c>
      <c r="B1" s="146" t="s">
        <v>856</v>
      </c>
      <c r="C1" s="105" t="s">
        <v>228</v>
      </c>
      <c r="D1" t="s">
        <v>227</v>
      </c>
      <c r="E1" t="s">
        <v>226</v>
      </c>
      <c r="F1" t="s">
        <v>225</v>
      </c>
      <c r="G1" s="50" t="s">
        <v>224</v>
      </c>
      <c r="H1" s="50" t="s">
        <v>223</v>
      </c>
      <c r="I1" s="50" t="s">
        <v>222</v>
      </c>
      <c r="J1" s="50" t="s">
        <v>1644</v>
      </c>
      <c r="K1" s="50" t="s">
        <v>29</v>
      </c>
      <c r="L1" s="146" t="s">
        <v>725</v>
      </c>
    </row>
    <row r="2" spans="1:13">
      <c r="A2" t="s">
        <v>985</v>
      </c>
      <c r="B2" s="146" t="s">
        <v>728</v>
      </c>
      <c r="C2" s="105">
        <v>45663</v>
      </c>
      <c r="D2" t="s">
        <v>235</v>
      </c>
      <c r="E2" t="s">
        <v>986</v>
      </c>
      <c r="F2" t="s">
        <v>987</v>
      </c>
      <c r="G2" s="50">
        <v>13852.3</v>
      </c>
      <c r="H2" s="50">
        <v>2520</v>
      </c>
      <c r="I2" s="50">
        <v>16372.3</v>
      </c>
      <c r="K2" s="50">
        <v>16372.3</v>
      </c>
      <c r="L2" s="146" t="s">
        <v>230</v>
      </c>
    </row>
    <row r="3" spans="1:13">
      <c r="A3" t="s">
        <v>988</v>
      </c>
      <c r="B3" s="146" t="s">
        <v>728</v>
      </c>
      <c r="C3" s="105">
        <v>45664</v>
      </c>
      <c r="D3" t="s">
        <v>235</v>
      </c>
      <c r="E3" t="s">
        <v>989</v>
      </c>
      <c r="F3" t="s">
        <v>990</v>
      </c>
      <c r="G3" s="50">
        <v>2578.85</v>
      </c>
      <c r="H3" s="50">
        <v>252</v>
      </c>
      <c r="I3" s="50">
        <v>2830.85</v>
      </c>
      <c r="K3" s="50">
        <v>2830.85</v>
      </c>
      <c r="L3" s="146" t="s">
        <v>231</v>
      </c>
    </row>
    <row r="4" spans="1:13">
      <c r="A4" t="s">
        <v>991</v>
      </c>
      <c r="B4" s="146" t="s">
        <v>728</v>
      </c>
      <c r="C4" s="105">
        <v>45665</v>
      </c>
      <c r="D4" t="s">
        <v>235</v>
      </c>
      <c r="E4" t="s">
        <v>992</v>
      </c>
      <c r="F4" t="s">
        <v>993</v>
      </c>
      <c r="G4" s="50">
        <v>15403.73</v>
      </c>
      <c r="H4" s="50">
        <v>3972</v>
      </c>
      <c r="I4" s="50">
        <v>19375.73</v>
      </c>
      <c r="K4" s="50">
        <v>19375.73</v>
      </c>
      <c r="L4" s="146" t="s">
        <v>230</v>
      </c>
    </row>
    <row r="5" spans="1:13">
      <c r="A5" t="s">
        <v>994</v>
      </c>
      <c r="B5" s="146" t="s">
        <v>728</v>
      </c>
      <c r="C5" s="105">
        <v>45665</v>
      </c>
      <c r="D5" t="s">
        <v>235</v>
      </c>
      <c r="E5" t="s">
        <v>995</v>
      </c>
      <c r="F5" t="s">
        <v>996</v>
      </c>
      <c r="G5" s="50">
        <v>2296.44</v>
      </c>
      <c r="H5" s="50">
        <v>2280</v>
      </c>
      <c r="I5" s="50">
        <v>4576.4399999999996</v>
      </c>
      <c r="K5" s="50">
        <v>4576.4399999999996</v>
      </c>
      <c r="L5" s="146" t="s">
        <v>230</v>
      </c>
    </row>
    <row r="6" spans="1:13">
      <c r="A6" t="s">
        <v>997</v>
      </c>
      <c r="B6" s="146" t="s">
        <v>728</v>
      </c>
      <c r="C6" s="105">
        <v>45666</v>
      </c>
      <c r="D6" t="s">
        <v>235</v>
      </c>
      <c r="E6" t="s">
        <v>998</v>
      </c>
      <c r="F6" t="s">
        <v>999</v>
      </c>
      <c r="G6" s="50">
        <v>1603.02</v>
      </c>
      <c r="H6" s="50">
        <v>276</v>
      </c>
      <c r="I6" s="50">
        <v>1879.02</v>
      </c>
      <c r="K6" s="50">
        <v>1879.02</v>
      </c>
      <c r="L6" s="146" t="s">
        <v>231</v>
      </c>
    </row>
    <row r="7" spans="1:13">
      <c r="A7" t="s">
        <v>1000</v>
      </c>
      <c r="B7" s="146" t="s">
        <v>728</v>
      </c>
      <c r="C7" s="105">
        <v>45666</v>
      </c>
      <c r="D7" t="s">
        <v>235</v>
      </c>
      <c r="E7" t="s">
        <v>1001</v>
      </c>
      <c r="F7" t="s">
        <v>1002</v>
      </c>
      <c r="G7" s="50">
        <v>6005.53</v>
      </c>
      <c r="H7" s="50">
        <v>3948</v>
      </c>
      <c r="I7" s="50">
        <v>9953.5300000000007</v>
      </c>
      <c r="K7" s="50">
        <v>9953.5300000000007</v>
      </c>
      <c r="L7" s="146" t="s">
        <v>230</v>
      </c>
    </row>
    <row r="8" spans="1:13">
      <c r="A8" t="s">
        <v>1003</v>
      </c>
      <c r="B8" s="146" t="s">
        <v>728</v>
      </c>
      <c r="C8" s="105">
        <v>45674</v>
      </c>
      <c r="D8" t="s">
        <v>235</v>
      </c>
      <c r="E8" t="s">
        <v>1004</v>
      </c>
      <c r="F8" t="s">
        <v>1005</v>
      </c>
      <c r="G8" s="50">
        <v>12843.63</v>
      </c>
      <c r="H8" s="50">
        <v>4368</v>
      </c>
      <c r="I8" s="50">
        <v>17211.63</v>
      </c>
      <c r="K8" s="50">
        <v>17211.63</v>
      </c>
      <c r="L8" s="146" t="s">
        <v>230</v>
      </c>
    </row>
    <row r="9" spans="1:13">
      <c r="A9" t="s">
        <v>1006</v>
      </c>
      <c r="B9" s="146" t="s">
        <v>728</v>
      </c>
      <c r="C9" s="105">
        <v>45674</v>
      </c>
      <c r="D9" t="s">
        <v>1007</v>
      </c>
      <c r="E9" t="s">
        <v>1004</v>
      </c>
      <c r="F9" t="s">
        <v>1008</v>
      </c>
      <c r="G9" s="50">
        <v>95</v>
      </c>
      <c r="H9" s="50">
        <v>420</v>
      </c>
      <c r="I9" s="50">
        <v>515</v>
      </c>
      <c r="K9" s="50">
        <v>515</v>
      </c>
      <c r="L9" s="146" t="s">
        <v>230</v>
      </c>
      <c r="M9" s="146" t="s">
        <v>26</v>
      </c>
    </row>
    <row r="10" spans="1:13">
      <c r="A10" t="s">
        <v>1009</v>
      </c>
      <c r="B10" s="146" t="s">
        <v>728</v>
      </c>
      <c r="C10" s="105">
        <v>45674</v>
      </c>
      <c r="D10" t="s">
        <v>235</v>
      </c>
      <c r="E10" t="s">
        <v>413</v>
      </c>
      <c r="F10" t="s">
        <v>1010</v>
      </c>
      <c r="G10" s="50">
        <v>45</v>
      </c>
      <c r="H10" s="50">
        <v>70</v>
      </c>
      <c r="I10" s="50">
        <v>115</v>
      </c>
      <c r="K10" s="50">
        <v>115</v>
      </c>
      <c r="L10" s="146" t="s">
        <v>232</v>
      </c>
      <c r="M10" s="146" t="s">
        <v>726</v>
      </c>
    </row>
    <row r="11" spans="1:13">
      <c r="A11" t="s">
        <v>1011</v>
      </c>
      <c r="B11" s="146" t="s">
        <v>728</v>
      </c>
      <c r="C11" s="105">
        <v>45678</v>
      </c>
      <c r="D11" t="s">
        <v>235</v>
      </c>
      <c r="E11" t="s">
        <v>1012</v>
      </c>
      <c r="F11" t="s">
        <v>1013</v>
      </c>
      <c r="G11" s="50">
        <v>2025.32</v>
      </c>
      <c r="H11" s="50">
        <v>3348</v>
      </c>
      <c r="I11" s="50">
        <v>5373.32</v>
      </c>
      <c r="K11" s="50">
        <v>5373.32</v>
      </c>
      <c r="L11" s="146" t="s">
        <v>230</v>
      </c>
    </row>
    <row r="12" spans="1:13">
      <c r="A12" t="s">
        <v>1014</v>
      </c>
      <c r="B12" s="146" t="s">
        <v>728</v>
      </c>
      <c r="C12" s="105">
        <v>45679</v>
      </c>
      <c r="D12" t="s">
        <v>235</v>
      </c>
      <c r="E12" t="s">
        <v>1015</v>
      </c>
      <c r="F12" t="s">
        <v>1016</v>
      </c>
      <c r="G12" s="50">
        <v>8453.66</v>
      </c>
      <c r="H12" s="50">
        <v>2628</v>
      </c>
      <c r="I12" s="50">
        <v>11081.66</v>
      </c>
      <c r="K12" s="50">
        <v>11081.66</v>
      </c>
      <c r="L12" s="146" t="s">
        <v>230</v>
      </c>
    </row>
    <row r="13" spans="1:13">
      <c r="A13" t="s">
        <v>1017</v>
      </c>
      <c r="B13" s="146" t="s">
        <v>728</v>
      </c>
      <c r="C13" s="105">
        <v>45680</v>
      </c>
      <c r="D13" t="s">
        <v>235</v>
      </c>
      <c r="E13" t="s">
        <v>1018</v>
      </c>
      <c r="F13" t="s">
        <v>1019</v>
      </c>
      <c r="G13" s="50">
        <v>10979.84</v>
      </c>
      <c r="H13" s="50">
        <v>2688</v>
      </c>
      <c r="I13" s="50">
        <v>13667.84</v>
      </c>
      <c r="K13" s="50">
        <v>13667.84</v>
      </c>
      <c r="L13" s="146" t="s">
        <v>230</v>
      </c>
    </row>
    <row r="14" spans="1:13">
      <c r="A14" t="s">
        <v>1020</v>
      </c>
      <c r="B14" s="146" t="s">
        <v>728</v>
      </c>
      <c r="C14" s="105">
        <v>45681</v>
      </c>
      <c r="D14" t="s">
        <v>235</v>
      </c>
      <c r="E14" t="s">
        <v>1021</v>
      </c>
      <c r="F14" t="s">
        <v>1022</v>
      </c>
      <c r="G14" s="50">
        <v>2943.04</v>
      </c>
      <c r="H14" s="50">
        <v>5004</v>
      </c>
      <c r="I14" s="50">
        <v>7947.04</v>
      </c>
      <c r="K14" s="50">
        <v>7947.04</v>
      </c>
      <c r="L14" s="146" t="s">
        <v>230</v>
      </c>
    </row>
    <row r="15" spans="1:13">
      <c r="A15" t="s">
        <v>1023</v>
      </c>
      <c r="B15" s="146" t="s">
        <v>728</v>
      </c>
      <c r="C15" s="105">
        <v>45684</v>
      </c>
      <c r="D15" t="s">
        <v>235</v>
      </c>
      <c r="E15" t="s">
        <v>1024</v>
      </c>
      <c r="F15" t="s">
        <v>1025</v>
      </c>
      <c r="G15" s="50">
        <v>23799.55</v>
      </c>
      <c r="H15" s="50">
        <v>6060</v>
      </c>
      <c r="I15" s="50">
        <v>29859.55</v>
      </c>
      <c r="K15" s="50">
        <v>29859.55</v>
      </c>
      <c r="L15" s="146" t="s">
        <v>230</v>
      </c>
    </row>
    <row r="16" spans="1:13">
      <c r="A16" t="s">
        <v>1026</v>
      </c>
      <c r="B16" s="146" t="s">
        <v>729</v>
      </c>
      <c r="C16" s="105">
        <v>45692</v>
      </c>
      <c r="D16" t="s">
        <v>235</v>
      </c>
      <c r="E16" t="s">
        <v>1027</v>
      </c>
      <c r="F16" t="s">
        <v>1028</v>
      </c>
      <c r="G16" s="50">
        <v>6345.16</v>
      </c>
      <c r="H16" s="50">
        <v>756</v>
      </c>
      <c r="I16" s="50">
        <v>7101.16</v>
      </c>
      <c r="K16" s="50">
        <v>7101.16</v>
      </c>
      <c r="L16" s="146" t="s">
        <v>230</v>
      </c>
    </row>
    <row r="17" spans="1:13">
      <c r="A17" t="s">
        <v>1029</v>
      </c>
      <c r="B17" s="146" t="s">
        <v>729</v>
      </c>
      <c r="C17" s="105">
        <v>45695</v>
      </c>
      <c r="D17" t="s">
        <v>235</v>
      </c>
      <c r="E17" t="s">
        <v>1030</v>
      </c>
      <c r="F17" t="s">
        <v>1031</v>
      </c>
      <c r="G17" s="50">
        <v>6370.65</v>
      </c>
      <c r="H17" s="50">
        <v>1236</v>
      </c>
      <c r="I17" s="50">
        <v>7606.65</v>
      </c>
      <c r="K17" s="50">
        <v>7606.65</v>
      </c>
      <c r="L17" s="146" t="s">
        <v>230</v>
      </c>
    </row>
    <row r="18" spans="1:13">
      <c r="A18" t="s">
        <v>1032</v>
      </c>
      <c r="B18" s="146" t="s">
        <v>729</v>
      </c>
      <c r="C18" s="105">
        <v>45695</v>
      </c>
      <c r="D18" t="s">
        <v>235</v>
      </c>
      <c r="E18" t="s">
        <v>1033</v>
      </c>
      <c r="F18" t="s">
        <v>1034</v>
      </c>
      <c r="G18" s="50">
        <v>1603.02</v>
      </c>
      <c r="H18" s="50">
        <v>276</v>
      </c>
      <c r="I18" s="50">
        <v>1879.02</v>
      </c>
      <c r="K18" s="50">
        <v>1879.02</v>
      </c>
      <c r="L18" s="146" t="s">
        <v>231</v>
      </c>
    </row>
    <row r="19" spans="1:13">
      <c r="A19" t="s">
        <v>1035</v>
      </c>
      <c r="B19" s="146" t="s">
        <v>729</v>
      </c>
      <c r="C19" s="105">
        <v>45698</v>
      </c>
      <c r="D19" t="s">
        <v>235</v>
      </c>
      <c r="E19" t="s">
        <v>1036</v>
      </c>
      <c r="F19" t="s">
        <v>1037</v>
      </c>
      <c r="G19" s="50">
        <v>959.95</v>
      </c>
      <c r="H19" s="50">
        <v>276</v>
      </c>
      <c r="I19" s="50">
        <v>1235.95</v>
      </c>
      <c r="K19" s="50">
        <v>1235.95</v>
      </c>
      <c r="L19" s="146" t="s">
        <v>231</v>
      </c>
    </row>
    <row r="20" spans="1:13">
      <c r="A20" t="s">
        <v>1038</v>
      </c>
      <c r="B20" s="146" t="s">
        <v>729</v>
      </c>
      <c r="C20" s="105">
        <v>45699</v>
      </c>
      <c r="D20" t="s">
        <v>235</v>
      </c>
      <c r="E20" t="s">
        <v>1039</v>
      </c>
      <c r="F20" t="s">
        <v>1040</v>
      </c>
      <c r="G20" s="50">
        <v>13649.55</v>
      </c>
      <c r="H20" s="50">
        <v>3252</v>
      </c>
      <c r="I20" s="50">
        <v>16901.55</v>
      </c>
      <c r="K20" s="50">
        <v>16901.55</v>
      </c>
      <c r="L20" s="146" t="s">
        <v>230</v>
      </c>
    </row>
    <row r="21" spans="1:13">
      <c r="A21" t="s">
        <v>1041</v>
      </c>
      <c r="B21" s="146" t="s">
        <v>729</v>
      </c>
      <c r="C21" s="105">
        <v>45705</v>
      </c>
      <c r="D21" t="s">
        <v>235</v>
      </c>
      <c r="E21" t="s">
        <v>1042</v>
      </c>
      <c r="F21" t="s">
        <v>1043</v>
      </c>
      <c r="G21" s="50">
        <v>1603.02</v>
      </c>
      <c r="H21" s="50">
        <v>276</v>
      </c>
      <c r="I21" s="50">
        <v>1879.02</v>
      </c>
      <c r="K21" s="50">
        <v>1879.02</v>
      </c>
      <c r="L21" s="146" t="s">
        <v>231</v>
      </c>
    </row>
    <row r="22" spans="1:13">
      <c r="A22" t="s">
        <v>1044</v>
      </c>
      <c r="B22" s="146" t="s">
        <v>729</v>
      </c>
      <c r="C22" s="105">
        <v>45707</v>
      </c>
      <c r="D22" t="s">
        <v>1045</v>
      </c>
      <c r="E22" t="s">
        <v>1036</v>
      </c>
      <c r="F22" t="s">
        <v>1046</v>
      </c>
      <c r="G22" s="50">
        <v>333.8</v>
      </c>
      <c r="H22" s="50">
        <v>1270</v>
      </c>
      <c r="I22" s="50">
        <v>1603.8</v>
      </c>
      <c r="K22" s="50">
        <v>1603.8</v>
      </c>
      <c r="L22" s="146" t="s">
        <v>232</v>
      </c>
      <c r="M22" s="146" t="s">
        <v>26</v>
      </c>
    </row>
    <row r="23" spans="1:13">
      <c r="A23" t="s">
        <v>1047</v>
      </c>
      <c r="B23" s="146" t="s">
        <v>729</v>
      </c>
      <c r="C23" s="105">
        <v>45709</v>
      </c>
      <c r="D23" t="s">
        <v>235</v>
      </c>
      <c r="E23" t="s">
        <v>1048</v>
      </c>
      <c r="F23" t="s">
        <v>1049</v>
      </c>
      <c r="G23" s="50">
        <v>7213.2</v>
      </c>
      <c r="H23" s="50">
        <v>2076</v>
      </c>
      <c r="I23" s="50">
        <v>9289.2000000000007</v>
      </c>
      <c r="K23" s="50">
        <v>9289.2000000000007</v>
      </c>
      <c r="L23" s="146" t="s">
        <v>230</v>
      </c>
    </row>
    <row r="24" spans="1:13">
      <c r="A24" t="s">
        <v>1050</v>
      </c>
      <c r="B24" s="146" t="s">
        <v>729</v>
      </c>
      <c r="C24" s="105">
        <v>45709</v>
      </c>
      <c r="D24" t="s">
        <v>235</v>
      </c>
      <c r="E24" t="s">
        <v>1051</v>
      </c>
      <c r="F24" t="s">
        <v>1052</v>
      </c>
      <c r="G24" s="50">
        <v>6980.95</v>
      </c>
      <c r="H24" s="50">
        <v>4992</v>
      </c>
      <c r="I24" s="50">
        <v>11972.95</v>
      </c>
      <c r="K24" s="50">
        <v>11972.95</v>
      </c>
      <c r="L24" s="146" t="s">
        <v>230</v>
      </c>
    </row>
    <row r="25" spans="1:13">
      <c r="A25" t="s">
        <v>1053</v>
      </c>
      <c r="B25" s="146" t="s">
        <v>729</v>
      </c>
      <c r="C25" s="105">
        <v>45714</v>
      </c>
      <c r="D25" t="s">
        <v>235</v>
      </c>
      <c r="E25" t="s">
        <v>1054</v>
      </c>
      <c r="F25" t="s">
        <v>1055</v>
      </c>
      <c r="G25" s="50">
        <v>24780.27</v>
      </c>
      <c r="H25" s="50">
        <v>8478</v>
      </c>
      <c r="I25" s="50">
        <v>33258.269999999997</v>
      </c>
      <c r="K25" s="50">
        <v>33258.269999999997</v>
      </c>
      <c r="L25" s="146" t="s">
        <v>230</v>
      </c>
    </row>
    <row r="26" spans="1:13">
      <c r="A26" t="s">
        <v>1056</v>
      </c>
      <c r="B26" s="146" t="s">
        <v>729</v>
      </c>
      <c r="C26" s="105">
        <v>45714</v>
      </c>
      <c r="D26" t="s">
        <v>235</v>
      </c>
      <c r="E26" t="s">
        <v>1057</v>
      </c>
      <c r="F26" t="s">
        <v>1058</v>
      </c>
      <c r="G26" s="50">
        <v>15636.54</v>
      </c>
      <c r="H26" s="50">
        <v>3804</v>
      </c>
      <c r="I26" s="50">
        <v>19440.54</v>
      </c>
      <c r="K26" s="50">
        <v>19440.54</v>
      </c>
      <c r="L26" s="146" t="s">
        <v>230</v>
      </c>
    </row>
    <row r="27" spans="1:13">
      <c r="A27" t="s">
        <v>1059</v>
      </c>
      <c r="B27" s="146" t="s">
        <v>729</v>
      </c>
      <c r="C27" s="105">
        <v>45715</v>
      </c>
      <c r="D27" t="s">
        <v>235</v>
      </c>
      <c r="E27" t="s">
        <v>1060</v>
      </c>
      <c r="F27" t="s">
        <v>1061</v>
      </c>
      <c r="G27" s="50">
        <v>7427.45</v>
      </c>
      <c r="H27" s="50">
        <v>2976</v>
      </c>
      <c r="I27" s="50">
        <v>10403.450000000001</v>
      </c>
      <c r="K27" s="50">
        <v>10403.450000000001</v>
      </c>
      <c r="L27" s="146" t="s">
        <v>230</v>
      </c>
    </row>
    <row r="28" spans="1:13">
      <c r="A28" t="s">
        <v>1062</v>
      </c>
      <c r="B28" s="146" t="s">
        <v>729</v>
      </c>
      <c r="C28" s="105">
        <v>45715</v>
      </c>
      <c r="D28" t="s">
        <v>235</v>
      </c>
      <c r="E28" t="s">
        <v>1063</v>
      </c>
      <c r="F28" t="s">
        <v>1064</v>
      </c>
      <c r="G28" s="50">
        <v>3066.76</v>
      </c>
      <c r="H28" s="50">
        <v>240</v>
      </c>
      <c r="I28" s="50">
        <v>3306.76</v>
      </c>
      <c r="K28" s="50">
        <v>3306.76</v>
      </c>
      <c r="L28" s="146" t="s">
        <v>231</v>
      </c>
    </row>
    <row r="29" spans="1:13">
      <c r="A29" t="s">
        <v>1065</v>
      </c>
      <c r="B29" s="146" t="s">
        <v>738</v>
      </c>
      <c r="C29" s="105">
        <v>45726</v>
      </c>
      <c r="D29" t="s">
        <v>235</v>
      </c>
      <c r="E29" t="s">
        <v>1066</v>
      </c>
      <c r="F29" t="s">
        <v>1067</v>
      </c>
      <c r="G29" s="50">
        <v>11264.75</v>
      </c>
      <c r="H29" s="50">
        <v>3180</v>
      </c>
      <c r="I29" s="50">
        <v>14444.75</v>
      </c>
      <c r="K29" s="50">
        <v>14444.75</v>
      </c>
      <c r="L29" s="146" t="s">
        <v>230</v>
      </c>
    </row>
    <row r="30" spans="1:13">
      <c r="A30" t="s">
        <v>1068</v>
      </c>
      <c r="B30" s="146" t="s">
        <v>738</v>
      </c>
      <c r="C30" s="105">
        <v>45726</v>
      </c>
      <c r="D30" t="s">
        <v>235</v>
      </c>
      <c r="E30" t="s">
        <v>1069</v>
      </c>
      <c r="F30" t="s">
        <v>1070</v>
      </c>
      <c r="G30" s="50">
        <v>4971.68</v>
      </c>
      <c r="H30" s="50">
        <v>4848</v>
      </c>
      <c r="I30" s="50">
        <v>9819.68</v>
      </c>
      <c r="K30" s="50">
        <v>9819.68</v>
      </c>
      <c r="L30" s="146" t="s">
        <v>230</v>
      </c>
    </row>
    <row r="31" spans="1:13">
      <c r="A31" t="s">
        <v>1071</v>
      </c>
      <c r="B31" s="146" t="s">
        <v>738</v>
      </c>
      <c r="C31" s="105">
        <v>45726</v>
      </c>
      <c r="D31" t="s">
        <v>235</v>
      </c>
      <c r="E31" t="s">
        <v>1072</v>
      </c>
      <c r="F31" t="s">
        <v>1073</v>
      </c>
      <c r="G31" s="50">
        <v>3066.76</v>
      </c>
      <c r="H31" s="50">
        <v>240</v>
      </c>
      <c r="I31" s="50">
        <v>3306.76</v>
      </c>
      <c r="K31" s="50">
        <v>3306.76</v>
      </c>
      <c r="L31" s="146" t="s">
        <v>231</v>
      </c>
    </row>
    <row r="32" spans="1:13">
      <c r="A32" t="s">
        <v>1074</v>
      </c>
      <c r="B32" s="146" t="s">
        <v>738</v>
      </c>
      <c r="C32" s="105">
        <v>45726</v>
      </c>
      <c r="D32" t="s">
        <v>235</v>
      </c>
      <c r="E32" t="s">
        <v>1075</v>
      </c>
      <c r="F32" t="s">
        <v>1076</v>
      </c>
      <c r="G32" s="50">
        <v>2591.7600000000002</v>
      </c>
      <c r="H32" s="50">
        <v>240</v>
      </c>
      <c r="I32" s="50">
        <v>2831.76</v>
      </c>
      <c r="K32" s="50">
        <v>2831.76</v>
      </c>
      <c r="L32" s="146" t="s">
        <v>231</v>
      </c>
    </row>
    <row r="33" spans="1:13">
      <c r="A33" t="s">
        <v>1077</v>
      </c>
      <c r="B33" s="146" t="s">
        <v>738</v>
      </c>
      <c r="C33" s="105">
        <v>45730</v>
      </c>
      <c r="D33" t="s">
        <v>235</v>
      </c>
      <c r="E33" t="s">
        <v>1078</v>
      </c>
      <c r="F33" t="s">
        <v>1079</v>
      </c>
      <c r="G33" s="50">
        <v>178.02</v>
      </c>
      <c r="H33" s="50">
        <v>276</v>
      </c>
      <c r="I33" s="50">
        <v>454.02</v>
      </c>
      <c r="K33" s="50">
        <v>454.02</v>
      </c>
      <c r="L33" s="146" t="s">
        <v>231</v>
      </c>
    </row>
    <row r="34" spans="1:13">
      <c r="A34" t="s">
        <v>1080</v>
      </c>
      <c r="B34" s="146" t="s">
        <v>738</v>
      </c>
      <c r="C34" s="105">
        <v>45731</v>
      </c>
      <c r="D34" t="s">
        <v>1081</v>
      </c>
      <c r="E34" t="s">
        <v>1069</v>
      </c>
      <c r="F34" t="s">
        <v>1082</v>
      </c>
      <c r="G34" s="50">
        <v>422.2</v>
      </c>
      <c r="H34" s="50">
        <v>820</v>
      </c>
      <c r="I34" s="50">
        <v>1242.2</v>
      </c>
      <c r="K34" s="50">
        <v>1242.2</v>
      </c>
      <c r="L34" s="146" t="s">
        <v>232</v>
      </c>
      <c r="M34" s="146" t="s">
        <v>26</v>
      </c>
    </row>
    <row r="35" spans="1:13">
      <c r="A35" t="s">
        <v>1083</v>
      </c>
      <c r="B35" s="146" t="s">
        <v>738</v>
      </c>
      <c r="C35" s="105">
        <v>45731</v>
      </c>
      <c r="D35" t="s">
        <v>235</v>
      </c>
      <c r="E35" t="s">
        <v>1084</v>
      </c>
      <c r="F35" t="s">
        <v>1085</v>
      </c>
      <c r="G35" s="50">
        <v>1183.6400000000001</v>
      </c>
      <c r="H35" s="50">
        <v>900</v>
      </c>
      <c r="I35" s="50">
        <v>2083.64</v>
      </c>
      <c r="K35" s="50">
        <v>2083.64</v>
      </c>
      <c r="L35" s="146" t="s">
        <v>230</v>
      </c>
    </row>
    <row r="36" spans="1:13">
      <c r="A36" t="s">
        <v>1086</v>
      </c>
      <c r="B36" s="146" t="s">
        <v>738</v>
      </c>
      <c r="C36" s="105">
        <v>45742</v>
      </c>
      <c r="D36" t="s">
        <v>235</v>
      </c>
      <c r="E36" t="s">
        <v>992</v>
      </c>
      <c r="F36" t="s">
        <v>1087</v>
      </c>
      <c r="G36" s="50">
        <v>3066.76</v>
      </c>
      <c r="H36" s="50">
        <v>240</v>
      </c>
      <c r="I36" s="50">
        <v>3306.76</v>
      </c>
      <c r="K36" s="50">
        <v>3306.76</v>
      </c>
      <c r="L36" s="146" t="s">
        <v>231</v>
      </c>
    </row>
    <row r="37" spans="1:13">
      <c r="A37" t="s">
        <v>1088</v>
      </c>
      <c r="B37" s="146" t="s">
        <v>738</v>
      </c>
      <c r="C37" s="105">
        <v>45743</v>
      </c>
      <c r="D37" t="s">
        <v>1089</v>
      </c>
      <c r="E37" t="s">
        <v>1090</v>
      </c>
      <c r="F37" t="s">
        <v>1091</v>
      </c>
      <c r="G37" s="50">
        <v>11787.22</v>
      </c>
      <c r="H37" s="50">
        <v>7041.6</v>
      </c>
      <c r="I37" s="50">
        <v>18828.82</v>
      </c>
      <c r="K37" s="50">
        <v>18828.82</v>
      </c>
      <c r="L37" s="146" t="s">
        <v>230</v>
      </c>
    </row>
    <row r="38" spans="1:13">
      <c r="A38" t="s">
        <v>1092</v>
      </c>
      <c r="B38" s="146" t="s">
        <v>738</v>
      </c>
      <c r="C38" s="105">
        <v>45736</v>
      </c>
      <c r="D38" t="s">
        <v>235</v>
      </c>
      <c r="E38" t="s">
        <v>1093</v>
      </c>
      <c r="F38" t="s">
        <v>1094</v>
      </c>
      <c r="G38" s="50">
        <v>16999.55</v>
      </c>
      <c r="H38" s="50">
        <v>1536</v>
      </c>
      <c r="I38" s="50">
        <v>18535.55</v>
      </c>
      <c r="K38" s="50">
        <v>18535.55</v>
      </c>
      <c r="L38" s="146" t="s">
        <v>230</v>
      </c>
    </row>
    <row r="39" spans="1:13">
      <c r="A39" t="s">
        <v>1095</v>
      </c>
      <c r="B39" s="146" t="s">
        <v>738</v>
      </c>
      <c r="C39" s="105">
        <v>45736</v>
      </c>
      <c r="D39" t="s">
        <v>235</v>
      </c>
      <c r="E39" t="s">
        <v>425</v>
      </c>
      <c r="F39" t="s">
        <v>1096</v>
      </c>
      <c r="G39" s="50">
        <v>4653.6400000000003</v>
      </c>
      <c r="H39" s="50">
        <v>1836</v>
      </c>
      <c r="I39" s="50">
        <v>6489.64</v>
      </c>
      <c r="K39" s="50">
        <v>6489.64</v>
      </c>
      <c r="L39" s="146" t="s">
        <v>230</v>
      </c>
    </row>
    <row r="40" spans="1:13">
      <c r="A40" t="s">
        <v>1097</v>
      </c>
      <c r="B40" s="146" t="s">
        <v>738</v>
      </c>
      <c r="C40" s="105">
        <v>45741</v>
      </c>
      <c r="D40" t="s">
        <v>235</v>
      </c>
      <c r="E40" t="s">
        <v>1098</v>
      </c>
      <c r="F40" t="s">
        <v>1099</v>
      </c>
      <c r="G40" s="50">
        <v>2116.7600000000002</v>
      </c>
      <c r="H40" s="50">
        <v>240</v>
      </c>
      <c r="I40" s="50">
        <v>2356.7600000000002</v>
      </c>
      <c r="K40" s="50">
        <v>2356.7600000000002</v>
      </c>
      <c r="L40" s="146" t="s">
        <v>231</v>
      </c>
    </row>
    <row r="41" spans="1:13">
      <c r="A41" t="s">
        <v>1100</v>
      </c>
      <c r="B41" s="146" t="s">
        <v>738</v>
      </c>
      <c r="C41" s="105">
        <v>45742</v>
      </c>
      <c r="D41" t="s">
        <v>235</v>
      </c>
      <c r="E41" t="s">
        <v>1101</v>
      </c>
      <c r="F41" t="s">
        <v>1102</v>
      </c>
      <c r="G41" s="50">
        <v>3066.76</v>
      </c>
      <c r="H41" s="50">
        <v>240</v>
      </c>
      <c r="I41" s="50">
        <v>3306.76</v>
      </c>
      <c r="K41" s="50">
        <v>3306.76</v>
      </c>
      <c r="L41" s="146" t="s">
        <v>231</v>
      </c>
    </row>
    <row r="42" spans="1:13">
      <c r="A42" t="s">
        <v>1103</v>
      </c>
      <c r="B42" s="146" t="s">
        <v>738</v>
      </c>
      <c r="C42" s="105">
        <v>45744</v>
      </c>
      <c r="D42" t="s">
        <v>235</v>
      </c>
      <c r="E42" t="s">
        <v>1104</v>
      </c>
      <c r="F42" t="s">
        <v>1105</v>
      </c>
      <c r="G42" s="50">
        <v>9123.5</v>
      </c>
      <c r="H42" s="50">
        <v>2208</v>
      </c>
      <c r="I42" s="50">
        <v>11331.5</v>
      </c>
      <c r="K42" s="50">
        <v>11331.5</v>
      </c>
      <c r="L42" s="146" t="s">
        <v>230</v>
      </c>
    </row>
    <row r="43" spans="1:13">
      <c r="A43" t="s">
        <v>1106</v>
      </c>
      <c r="B43" s="146" t="s">
        <v>738</v>
      </c>
      <c r="C43" s="105">
        <v>45745</v>
      </c>
      <c r="D43" t="s">
        <v>235</v>
      </c>
      <c r="E43" t="s">
        <v>1107</v>
      </c>
      <c r="F43" t="s">
        <v>1108</v>
      </c>
      <c r="G43" s="50">
        <v>6356.04</v>
      </c>
      <c r="H43" s="50">
        <v>2292</v>
      </c>
      <c r="I43" s="50">
        <v>8648.0400000000009</v>
      </c>
      <c r="K43" s="50">
        <v>8648.0400000000009</v>
      </c>
      <c r="L43" s="146" t="s">
        <v>230</v>
      </c>
    </row>
    <row r="44" spans="1:13">
      <c r="A44" t="s">
        <v>1109</v>
      </c>
      <c r="B44" s="146" t="s">
        <v>738</v>
      </c>
      <c r="C44" s="105">
        <v>45745</v>
      </c>
      <c r="D44" t="s">
        <v>235</v>
      </c>
      <c r="E44" t="s">
        <v>1110</v>
      </c>
      <c r="F44" t="s">
        <v>1111</v>
      </c>
      <c r="G44" s="50">
        <v>12450.85</v>
      </c>
      <c r="H44" s="50">
        <v>2904</v>
      </c>
      <c r="I44" s="50">
        <v>15354.85</v>
      </c>
      <c r="K44" s="50">
        <v>15354.85</v>
      </c>
      <c r="L44" s="146" t="s">
        <v>230</v>
      </c>
    </row>
    <row r="45" spans="1:13">
      <c r="A45" t="s">
        <v>1203</v>
      </c>
      <c r="B45" s="157" t="s">
        <v>730</v>
      </c>
      <c r="C45" s="158">
        <v>45751</v>
      </c>
      <c r="D45" t="s">
        <v>235</v>
      </c>
      <c r="E45" t="s">
        <v>588</v>
      </c>
      <c r="F45" t="s">
        <v>1204</v>
      </c>
      <c r="G45" s="50">
        <v>14048.25</v>
      </c>
      <c r="H45" s="50">
        <v>3828</v>
      </c>
      <c r="I45" s="50">
        <v>17876.25</v>
      </c>
      <c r="K45" s="50">
        <v>17876.25</v>
      </c>
      <c r="L45" s="157" t="s">
        <v>230</v>
      </c>
    </row>
    <row r="46" spans="1:13">
      <c r="A46" t="s">
        <v>1205</v>
      </c>
      <c r="B46" s="157" t="s">
        <v>730</v>
      </c>
      <c r="C46" s="158">
        <v>45763</v>
      </c>
      <c r="D46" t="s">
        <v>235</v>
      </c>
      <c r="E46" t="s">
        <v>1206</v>
      </c>
      <c r="F46" t="s">
        <v>1207</v>
      </c>
      <c r="G46" s="50">
        <v>993.2</v>
      </c>
      <c r="H46" s="50">
        <v>276</v>
      </c>
      <c r="I46" s="50">
        <v>1269.2</v>
      </c>
      <c r="K46" s="50">
        <v>1269.2</v>
      </c>
      <c r="L46" s="157" t="s">
        <v>231</v>
      </c>
    </row>
    <row r="47" spans="1:13">
      <c r="A47" t="s">
        <v>1208</v>
      </c>
      <c r="B47" s="157" t="s">
        <v>730</v>
      </c>
      <c r="C47" s="158">
        <v>45763</v>
      </c>
      <c r="D47" t="s">
        <v>235</v>
      </c>
      <c r="E47" t="s">
        <v>1209</v>
      </c>
      <c r="F47" t="s">
        <v>1210</v>
      </c>
      <c r="G47" s="50">
        <v>2932.4</v>
      </c>
      <c r="H47" s="50">
        <v>252</v>
      </c>
      <c r="I47" s="50">
        <v>3184.4</v>
      </c>
      <c r="K47" s="50">
        <v>3184.4</v>
      </c>
      <c r="L47" s="157" t="s">
        <v>231</v>
      </c>
    </row>
    <row r="48" spans="1:13">
      <c r="A48" t="s">
        <v>1211</v>
      </c>
      <c r="B48" s="157" t="s">
        <v>730</v>
      </c>
      <c r="C48" s="158">
        <v>45763</v>
      </c>
      <c r="D48" t="s">
        <v>235</v>
      </c>
      <c r="E48" t="s">
        <v>236</v>
      </c>
      <c r="F48" t="s">
        <v>1212</v>
      </c>
      <c r="G48" s="50">
        <v>2078.02</v>
      </c>
      <c r="H48" s="50">
        <v>276</v>
      </c>
      <c r="I48" s="50">
        <v>2354.02</v>
      </c>
      <c r="K48" s="50">
        <v>2354.02</v>
      </c>
      <c r="L48" s="157" t="s">
        <v>231</v>
      </c>
    </row>
    <row r="49" spans="1:12">
      <c r="A49" t="s">
        <v>1213</v>
      </c>
      <c r="B49" s="157" t="s">
        <v>730</v>
      </c>
      <c r="C49" s="158">
        <v>45771</v>
      </c>
      <c r="D49" t="s">
        <v>235</v>
      </c>
      <c r="E49" t="s">
        <v>1214</v>
      </c>
      <c r="F49" t="s">
        <v>1215</v>
      </c>
      <c r="G49" s="50">
        <v>4268.03</v>
      </c>
      <c r="H49" s="50">
        <v>1308</v>
      </c>
      <c r="I49" s="50">
        <v>5576.03</v>
      </c>
      <c r="K49" s="50">
        <v>5576.03</v>
      </c>
      <c r="L49" s="157" t="s">
        <v>230</v>
      </c>
    </row>
    <row r="50" spans="1:12">
      <c r="A50" t="s">
        <v>1216</v>
      </c>
      <c r="B50" s="157" t="s">
        <v>730</v>
      </c>
      <c r="C50" s="158">
        <v>45772</v>
      </c>
      <c r="D50" t="s">
        <v>235</v>
      </c>
      <c r="E50" t="s">
        <v>1217</v>
      </c>
      <c r="F50" t="s">
        <v>1218</v>
      </c>
      <c r="G50" s="50">
        <v>4405.29</v>
      </c>
      <c r="H50" s="50">
        <v>780</v>
      </c>
      <c r="I50" s="50">
        <v>5185.29</v>
      </c>
      <c r="K50" s="50">
        <v>5185.29</v>
      </c>
      <c r="L50" s="157" t="s">
        <v>230</v>
      </c>
    </row>
    <row r="51" spans="1:12">
      <c r="A51" t="s">
        <v>1219</v>
      </c>
      <c r="B51" s="157" t="s">
        <v>730</v>
      </c>
      <c r="C51" s="158">
        <v>45772</v>
      </c>
      <c r="D51" t="s">
        <v>235</v>
      </c>
      <c r="E51" t="s">
        <v>1220</v>
      </c>
      <c r="F51" t="s">
        <v>1221</v>
      </c>
      <c r="G51" s="50">
        <v>3008.4</v>
      </c>
      <c r="H51" s="50">
        <v>252</v>
      </c>
      <c r="I51" s="50">
        <v>3260.4</v>
      </c>
      <c r="K51" s="50">
        <v>3260.4</v>
      </c>
      <c r="L51" s="157" t="s">
        <v>231</v>
      </c>
    </row>
    <row r="52" spans="1:12">
      <c r="A52" t="s">
        <v>1222</v>
      </c>
      <c r="B52" s="157" t="s">
        <v>730</v>
      </c>
      <c r="C52" s="158">
        <v>45775</v>
      </c>
      <c r="D52" t="s">
        <v>235</v>
      </c>
      <c r="E52" t="s">
        <v>1223</v>
      </c>
      <c r="F52" t="s">
        <v>1224</v>
      </c>
      <c r="G52" s="50">
        <v>3066.76</v>
      </c>
      <c r="H52" s="50">
        <v>240</v>
      </c>
      <c r="I52" s="50">
        <v>3306.76</v>
      </c>
      <c r="K52" s="50">
        <v>3306.76</v>
      </c>
      <c r="L52" s="157" t="s">
        <v>231</v>
      </c>
    </row>
    <row r="53" spans="1:12">
      <c r="A53" t="s">
        <v>1225</v>
      </c>
      <c r="B53" s="157" t="s">
        <v>730</v>
      </c>
      <c r="C53" s="158">
        <v>45776</v>
      </c>
      <c r="D53" t="s">
        <v>235</v>
      </c>
      <c r="E53" t="s">
        <v>1072</v>
      </c>
      <c r="F53" t="s">
        <v>1226</v>
      </c>
      <c r="G53" s="50">
        <v>15359.42</v>
      </c>
      <c r="H53" s="50">
        <v>3720</v>
      </c>
      <c r="I53" s="50">
        <v>19079.419999999998</v>
      </c>
      <c r="K53" s="50">
        <v>19079.419999999998</v>
      </c>
      <c r="L53" s="157" t="s">
        <v>230</v>
      </c>
    </row>
    <row r="54" spans="1:12">
      <c r="A54" t="s">
        <v>1227</v>
      </c>
      <c r="B54" s="157" t="s">
        <v>730</v>
      </c>
      <c r="C54" s="158">
        <v>45776</v>
      </c>
      <c r="D54" t="s">
        <v>235</v>
      </c>
      <c r="E54" t="s">
        <v>1228</v>
      </c>
      <c r="F54" t="s">
        <v>1229</v>
      </c>
      <c r="G54" s="50">
        <v>3066.76</v>
      </c>
      <c r="H54" s="50">
        <v>240</v>
      </c>
      <c r="I54" s="50">
        <v>3306.76</v>
      </c>
      <c r="K54" s="50">
        <v>3306.76</v>
      </c>
      <c r="L54" s="157" t="s">
        <v>231</v>
      </c>
    </row>
    <row r="55" spans="1:12">
      <c r="A55" s="148" t="s">
        <v>1254</v>
      </c>
      <c r="B55" s="148" t="s">
        <v>731</v>
      </c>
      <c r="C55" s="149">
        <v>45783</v>
      </c>
      <c r="D55" s="148" t="s">
        <v>1255</v>
      </c>
      <c r="E55" s="148" t="s">
        <v>1256</v>
      </c>
      <c r="F55" s="148" t="s">
        <v>1257</v>
      </c>
      <c r="G55" s="150">
        <v>1644.9</v>
      </c>
      <c r="H55" s="150">
        <v>420</v>
      </c>
      <c r="I55" s="150">
        <v>2064.9</v>
      </c>
      <c r="K55" s="150">
        <v>2064.9</v>
      </c>
      <c r="L55" s="160" t="s">
        <v>232</v>
      </c>
    </row>
    <row r="56" spans="1:12">
      <c r="A56" s="148" t="s">
        <v>1258</v>
      </c>
      <c r="B56" s="148" t="s">
        <v>731</v>
      </c>
      <c r="C56" s="149">
        <v>45783</v>
      </c>
      <c r="D56" s="148" t="s">
        <v>235</v>
      </c>
      <c r="E56" s="148" t="s">
        <v>1231</v>
      </c>
      <c r="F56" s="148" t="s">
        <v>1259</v>
      </c>
      <c r="G56" s="150">
        <v>2116.7600000000002</v>
      </c>
      <c r="H56" s="150">
        <v>240</v>
      </c>
      <c r="I56" s="150">
        <v>2356.7600000000002</v>
      </c>
      <c r="K56" s="150">
        <v>2356.7600000000002</v>
      </c>
      <c r="L56" s="160" t="s">
        <v>231</v>
      </c>
    </row>
    <row r="57" spans="1:12">
      <c r="A57" s="148" t="s">
        <v>1260</v>
      </c>
      <c r="B57" s="148" t="s">
        <v>731</v>
      </c>
      <c r="C57" s="149">
        <v>45784</v>
      </c>
      <c r="D57" s="148" t="s">
        <v>235</v>
      </c>
      <c r="E57" s="148" t="s">
        <v>1261</v>
      </c>
      <c r="F57" s="148" t="s">
        <v>1262</v>
      </c>
      <c r="G57" s="150">
        <v>17389.97</v>
      </c>
      <c r="H57" s="150">
        <v>10932</v>
      </c>
      <c r="I57" s="150">
        <v>28321.97</v>
      </c>
      <c r="K57" s="150">
        <v>28321.97</v>
      </c>
      <c r="L57" s="160" t="s">
        <v>230</v>
      </c>
    </row>
    <row r="58" spans="1:12">
      <c r="A58" s="148" t="s">
        <v>1263</v>
      </c>
      <c r="B58" s="148" t="s">
        <v>731</v>
      </c>
      <c r="C58" s="149">
        <v>45785</v>
      </c>
      <c r="D58" s="148" t="s">
        <v>235</v>
      </c>
      <c r="E58" s="148" t="s">
        <v>1264</v>
      </c>
      <c r="F58" s="148" t="s">
        <v>1265</v>
      </c>
      <c r="G58" s="150">
        <v>5286.32</v>
      </c>
      <c r="H58" s="150">
        <v>1760.4</v>
      </c>
      <c r="I58" s="150">
        <v>7046.72</v>
      </c>
      <c r="K58" s="150">
        <v>7046.72</v>
      </c>
      <c r="L58" s="160" t="s">
        <v>232</v>
      </c>
    </row>
    <row r="59" spans="1:12">
      <c r="A59" s="148" t="s">
        <v>1266</v>
      </c>
      <c r="B59" s="148" t="s">
        <v>731</v>
      </c>
      <c r="C59" s="149">
        <v>45785</v>
      </c>
      <c r="D59" s="148" t="s">
        <v>1267</v>
      </c>
      <c r="E59" s="148" t="s">
        <v>1268</v>
      </c>
      <c r="F59" s="148" t="s">
        <v>1269</v>
      </c>
      <c r="G59" s="150">
        <v>2487</v>
      </c>
      <c r="H59" s="150">
        <v>600</v>
      </c>
      <c r="I59" s="150">
        <v>3087</v>
      </c>
      <c r="K59" s="150">
        <v>3087</v>
      </c>
      <c r="L59" t="s">
        <v>232</v>
      </c>
    </row>
    <row r="60" spans="1:12">
      <c r="A60" s="148" t="s">
        <v>1270</v>
      </c>
      <c r="B60" s="148" t="s">
        <v>731</v>
      </c>
      <c r="C60" s="149">
        <v>45787</v>
      </c>
      <c r="D60" s="148" t="s">
        <v>235</v>
      </c>
      <c r="E60" s="148" t="s">
        <v>1271</v>
      </c>
      <c r="F60" s="148" t="s">
        <v>1272</v>
      </c>
      <c r="G60" s="150">
        <v>2930</v>
      </c>
      <c r="H60" s="150">
        <v>300</v>
      </c>
      <c r="I60" s="150">
        <v>3230</v>
      </c>
      <c r="K60" s="150">
        <v>3230</v>
      </c>
      <c r="L60" s="160" t="s">
        <v>231</v>
      </c>
    </row>
    <row r="61" spans="1:12">
      <c r="A61" s="148" t="s">
        <v>1273</v>
      </c>
      <c r="B61" s="148" t="s">
        <v>731</v>
      </c>
      <c r="C61" s="149">
        <v>45791</v>
      </c>
      <c r="D61" s="148" t="s">
        <v>235</v>
      </c>
      <c r="E61" s="148" t="s">
        <v>1274</v>
      </c>
      <c r="F61" s="148" t="s">
        <v>1275</v>
      </c>
      <c r="G61" s="150">
        <v>6409.87</v>
      </c>
      <c r="H61" s="150">
        <v>3144</v>
      </c>
      <c r="I61" s="150">
        <v>9553.8700000000008</v>
      </c>
      <c r="K61" s="150">
        <v>9553.8700000000008</v>
      </c>
      <c r="L61" s="160" t="s">
        <v>230</v>
      </c>
    </row>
    <row r="62" spans="1:12">
      <c r="A62" s="148" t="s">
        <v>1276</v>
      </c>
      <c r="B62" s="148" t="s">
        <v>731</v>
      </c>
      <c r="C62" s="149">
        <v>45793</v>
      </c>
      <c r="D62" s="148" t="s">
        <v>235</v>
      </c>
      <c r="E62" s="148" t="s">
        <v>1277</v>
      </c>
      <c r="F62" s="148" t="s">
        <v>1278</v>
      </c>
      <c r="G62" s="150">
        <v>1175.1500000000001</v>
      </c>
      <c r="H62" s="150">
        <v>228</v>
      </c>
      <c r="I62" s="150">
        <v>1403.15</v>
      </c>
      <c r="K62" s="150">
        <v>1403.15</v>
      </c>
      <c r="L62" s="160" t="s">
        <v>231</v>
      </c>
    </row>
    <row r="63" spans="1:12">
      <c r="A63" s="148" t="s">
        <v>1279</v>
      </c>
      <c r="B63" s="148" t="s">
        <v>731</v>
      </c>
      <c r="C63" s="149">
        <v>45793</v>
      </c>
      <c r="D63" s="148" t="s">
        <v>235</v>
      </c>
      <c r="E63" s="148" t="s">
        <v>1280</v>
      </c>
      <c r="F63" s="148" t="s">
        <v>1281</v>
      </c>
      <c r="G63" s="150">
        <v>33621.51</v>
      </c>
      <c r="H63" s="150">
        <v>6552</v>
      </c>
      <c r="I63" s="150">
        <v>40173.51</v>
      </c>
      <c r="K63" s="150">
        <v>40173.51</v>
      </c>
      <c r="L63" s="160" t="s">
        <v>230</v>
      </c>
    </row>
    <row r="64" spans="1:12">
      <c r="A64" s="148" t="s">
        <v>1282</v>
      </c>
      <c r="B64" s="148" t="s">
        <v>731</v>
      </c>
      <c r="C64" s="149">
        <v>45794</v>
      </c>
      <c r="D64" s="148" t="s">
        <v>235</v>
      </c>
      <c r="E64" s="148" t="s">
        <v>1283</v>
      </c>
      <c r="F64" s="148" t="s">
        <v>1284</v>
      </c>
      <c r="G64" s="150">
        <v>1733.06</v>
      </c>
      <c r="H64" s="150">
        <v>1416</v>
      </c>
      <c r="I64" s="150">
        <v>3149.06</v>
      </c>
      <c r="K64" s="150">
        <v>3149.06</v>
      </c>
      <c r="L64" s="160" t="s">
        <v>230</v>
      </c>
    </row>
    <row r="65" spans="1:12">
      <c r="A65" s="148" t="s">
        <v>1285</v>
      </c>
      <c r="B65" s="148" t="s">
        <v>731</v>
      </c>
      <c r="C65" s="149">
        <v>45794</v>
      </c>
      <c r="D65" s="148" t="s">
        <v>235</v>
      </c>
      <c r="E65" s="148" t="s">
        <v>1286</v>
      </c>
      <c r="F65" s="148" t="s">
        <v>1287</v>
      </c>
      <c r="G65" s="150">
        <v>1628.85</v>
      </c>
      <c r="H65" s="150">
        <v>252</v>
      </c>
      <c r="I65" s="150">
        <v>1880.85</v>
      </c>
      <c r="K65" s="150">
        <v>1880.85</v>
      </c>
      <c r="L65" t="s">
        <v>231</v>
      </c>
    </row>
    <row r="66" spans="1:12">
      <c r="A66" s="148" t="s">
        <v>1288</v>
      </c>
      <c r="B66" s="148" t="s">
        <v>731</v>
      </c>
      <c r="C66" s="149">
        <v>45797</v>
      </c>
      <c r="D66" s="148" t="s">
        <v>235</v>
      </c>
      <c r="E66" s="148" t="s">
        <v>1274</v>
      </c>
      <c r="F66" s="148" t="s">
        <v>1289</v>
      </c>
      <c r="G66" s="150">
        <v>3066.76</v>
      </c>
      <c r="H66" s="150">
        <v>240</v>
      </c>
      <c r="I66" s="150">
        <v>3306.76</v>
      </c>
      <c r="K66" s="150">
        <v>3306.76</v>
      </c>
      <c r="L66" t="s">
        <v>231</v>
      </c>
    </row>
    <row r="67" spans="1:12">
      <c r="A67" s="148" t="s">
        <v>1333</v>
      </c>
      <c r="B67" s="148" t="s">
        <v>732</v>
      </c>
      <c r="C67" s="149">
        <v>45812</v>
      </c>
      <c r="D67" s="148" t="s">
        <v>235</v>
      </c>
      <c r="E67" s="148" t="s">
        <v>1334</v>
      </c>
      <c r="F67" s="148" t="s">
        <v>1335</v>
      </c>
      <c r="G67" s="148">
        <v>600</v>
      </c>
      <c r="H67" s="148"/>
      <c r="I67" s="148">
        <v>600</v>
      </c>
      <c r="K67" s="148">
        <v>600</v>
      </c>
      <c r="L67" s="192" t="s">
        <v>232</v>
      </c>
    </row>
    <row r="68" spans="1:12">
      <c r="A68" s="148" t="s">
        <v>1336</v>
      </c>
      <c r="B68" s="148" t="s">
        <v>732</v>
      </c>
      <c r="C68" s="149">
        <v>45817</v>
      </c>
      <c r="D68" s="148" t="s">
        <v>235</v>
      </c>
      <c r="E68" s="148" t="s">
        <v>1337</v>
      </c>
      <c r="F68" s="148" t="s">
        <v>1338</v>
      </c>
      <c r="G68" s="148">
        <v>37422.239999999998</v>
      </c>
      <c r="H68" s="148">
        <v>6516</v>
      </c>
      <c r="I68" s="148">
        <v>43938.239999999998</v>
      </c>
      <c r="K68" s="148">
        <v>43938.239999999998</v>
      </c>
      <c r="L68" s="192" t="s">
        <v>230</v>
      </c>
    </row>
    <row r="69" spans="1:12">
      <c r="A69" s="148" t="s">
        <v>1339</v>
      </c>
      <c r="B69" s="148" t="s">
        <v>732</v>
      </c>
      <c r="C69" s="149">
        <v>45820</v>
      </c>
      <c r="D69" s="148" t="s">
        <v>235</v>
      </c>
      <c r="E69" s="148" t="s">
        <v>1340</v>
      </c>
      <c r="F69" s="148" t="s">
        <v>1341</v>
      </c>
      <c r="G69" s="148">
        <v>2553.02</v>
      </c>
      <c r="H69" s="148">
        <v>276</v>
      </c>
      <c r="I69" s="148">
        <v>2829.02</v>
      </c>
      <c r="K69" s="148">
        <v>2829.02</v>
      </c>
      <c r="L69" s="192" t="s">
        <v>231</v>
      </c>
    </row>
    <row r="70" spans="1:12">
      <c r="A70" s="148" t="s">
        <v>1342</v>
      </c>
      <c r="B70" s="148" t="s">
        <v>732</v>
      </c>
      <c r="C70" s="149">
        <v>45820</v>
      </c>
      <c r="D70" s="148" t="s">
        <v>235</v>
      </c>
      <c r="E70" s="148" t="s">
        <v>1343</v>
      </c>
      <c r="F70" s="148" t="s">
        <v>1344</v>
      </c>
      <c r="G70" s="148">
        <v>10254.41</v>
      </c>
      <c r="H70" s="148">
        <v>5316</v>
      </c>
      <c r="I70" s="148">
        <v>15570.41</v>
      </c>
      <c r="K70" s="148">
        <v>15570.41</v>
      </c>
      <c r="L70" s="192" t="s">
        <v>230</v>
      </c>
    </row>
    <row r="71" spans="1:12">
      <c r="A71" s="148" t="s">
        <v>1345</v>
      </c>
      <c r="B71" s="148" t="s">
        <v>732</v>
      </c>
      <c r="C71" s="149">
        <v>45827</v>
      </c>
      <c r="D71" s="148" t="s">
        <v>235</v>
      </c>
      <c r="E71" s="148" t="s">
        <v>1346</v>
      </c>
      <c r="F71" s="148" t="s">
        <v>1347</v>
      </c>
      <c r="G71" s="148">
        <v>2762.93</v>
      </c>
      <c r="H71" s="148">
        <v>780</v>
      </c>
      <c r="I71" s="148">
        <v>3542.93</v>
      </c>
      <c r="K71" s="148">
        <v>3542.93</v>
      </c>
      <c r="L71" s="192" t="s">
        <v>230</v>
      </c>
    </row>
    <row r="72" spans="1:12">
      <c r="A72" s="148" t="s">
        <v>1348</v>
      </c>
      <c r="B72" s="148" t="s">
        <v>732</v>
      </c>
      <c r="C72" s="149">
        <v>45828</v>
      </c>
      <c r="D72" s="148" t="s">
        <v>235</v>
      </c>
      <c r="E72" s="148" t="s">
        <v>1349</v>
      </c>
      <c r="F72" s="148" t="s">
        <v>1350</v>
      </c>
      <c r="G72" s="148">
        <v>42069.87</v>
      </c>
      <c r="H72" s="148">
        <v>10272</v>
      </c>
      <c r="I72" s="148">
        <v>52341.87</v>
      </c>
      <c r="K72" s="148">
        <v>52341.87</v>
      </c>
      <c r="L72" s="192" t="s">
        <v>230</v>
      </c>
    </row>
    <row r="73" spans="1:12">
      <c r="A73" s="148" t="s">
        <v>1351</v>
      </c>
      <c r="B73" s="148" t="s">
        <v>732</v>
      </c>
      <c r="C73" s="149">
        <v>45828</v>
      </c>
      <c r="D73" s="148" t="s">
        <v>235</v>
      </c>
      <c r="E73" s="148" t="s">
        <v>1352</v>
      </c>
      <c r="F73" s="148" t="s">
        <v>1353</v>
      </c>
      <c r="G73" s="148">
        <v>3886.53</v>
      </c>
      <c r="H73" s="148">
        <v>1494</v>
      </c>
      <c r="I73" s="148">
        <v>5380.53</v>
      </c>
      <c r="K73" s="148">
        <v>5380.53</v>
      </c>
      <c r="L73" s="192" t="s">
        <v>230</v>
      </c>
    </row>
    <row r="74" spans="1:12">
      <c r="A74" s="148" t="s">
        <v>1354</v>
      </c>
      <c r="B74" s="148" t="s">
        <v>732</v>
      </c>
      <c r="C74" s="149">
        <v>45829</v>
      </c>
      <c r="D74" s="148" t="s">
        <v>235</v>
      </c>
      <c r="E74" s="148" t="s">
        <v>1355</v>
      </c>
      <c r="F74" s="148" t="s">
        <v>1356</v>
      </c>
      <c r="G74" s="148">
        <v>2078.02</v>
      </c>
      <c r="H74" s="148">
        <v>276</v>
      </c>
      <c r="I74" s="148">
        <v>2354.02</v>
      </c>
      <c r="K74" s="148">
        <v>2354.02</v>
      </c>
      <c r="L74" t="s">
        <v>231</v>
      </c>
    </row>
    <row r="75" spans="1:12">
      <c r="A75" s="148" t="s">
        <v>1357</v>
      </c>
      <c r="B75" s="148" t="s">
        <v>732</v>
      </c>
      <c r="C75" s="149">
        <v>45831</v>
      </c>
      <c r="D75" s="148" t="s">
        <v>235</v>
      </c>
      <c r="E75" s="148" t="s">
        <v>1358</v>
      </c>
      <c r="F75" s="148" t="s">
        <v>1359</v>
      </c>
      <c r="G75" s="148">
        <v>5367.09</v>
      </c>
      <c r="H75" s="148">
        <v>2748</v>
      </c>
      <c r="I75" s="148">
        <v>8115.09</v>
      </c>
      <c r="K75" s="148">
        <v>8115.09</v>
      </c>
      <c r="L75" s="192" t="s">
        <v>230</v>
      </c>
    </row>
    <row r="76" spans="1:12">
      <c r="A76" s="148" t="s">
        <v>1360</v>
      </c>
      <c r="B76" s="148" t="s">
        <v>732</v>
      </c>
      <c r="C76" s="149">
        <v>45831</v>
      </c>
      <c r="D76" s="148" t="s">
        <v>235</v>
      </c>
      <c r="E76" s="148" t="s">
        <v>1361</v>
      </c>
      <c r="F76" s="148" t="s">
        <v>1362</v>
      </c>
      <c r="G76" s="148">
        <v>2202.4899999999998</v>
      </c>
      <c r="H76" s="148">
        <v>3720</v>
      </c>
      <c r="I76" s="148">
        <v>5922.49</v>
      </c>
      <c r="K76" s="148">
        <v>5922.49</v>
      </c>
      <c r="L76" s="192" t="s">
        <v>230</v>
      </c>
    </row>
    <row r="77" spans="1:12">
      <c r="A77" s="148" t="s">
        <v>1363</v>
      </c>
      <c r="B77" s="148" t="s">
        <v>732</v>
      </c>
      <c r="C77" s="149">
        <v>45832</v>
      </c>
      <c r="D77" s="148" t="s">
        <v>235</v>
      </c>
      <c r="E77" s="148" t="s">
        <v>1364</v>
      </c>
      <c r="F77" s="148" t="s">
        <v>1365</v>
      </c>
      <c r="G77" s="148">
        <v>13028.17</v>
      </c>
      <c r="H77" s="148">
        <v>2676</v>
      </c>
      <c r="I77" s="148">
        <v>15704.17</v>
      </c>
      <c r="K77" s="148">
        <v>15704.17</v>
      </c>
      <c r="L77" s="192" t="s">
        <v>230</v>
      </c>
    </row>
    <row r="78" spans="1:12">
      <c r="A78" s="148" t="s">
        <v>1366</v>
      </c>
      <c r="B78" s="148" t="s">
        <v>732</v>
      </c>
      <c r="C78" s="149">
        <v>45833</v>
      </c>
      <c r="D78" s="148" t="s">
        <v>235</v>
      </c>
      <c r="E78" s="148" t="s">
        <v>1367</v>
      </c>
      <c r="F78" s="148" t="s">
        <v>1368</v>
      </c>
      <c r="G78" s="148">
        <v>2742.4</v>
      </c>
      <c r="H78" s="148">
        <v>252</v>
      </c>
      <c r="I78" s="148">
        <v>2994.4</v>
      </c>
      <c r="K78" s="148">
        <v>2994.4</v>
      </c>
      <c r="L78" t="s">
        <v>231</v>
      </c>
    </row>
    <row r="79" spans="1:12">
      <c r="A79" s="148" t="s">
        <v>1369</v>
      </c>
      <c r="B79" s="148" t="s">
        <v>732</v>
      </c>
      <c r="C79" s="149">
        <v>45834</v>
      </c>
      <c r="D79" s="148" t="s">
        <v>235</v>
      </c>
      <c r="E79" s="148" t="s">
        <v>1370</v>
      </c>
      <c r="F79" s="148" t="s">
        <v>1371</v>
      </c>
      <c r="G79" s="148">
        <v>710</v>
      </c>
      <c r="H79" s="148"/>
      <c r="I79" s="148">
        <v>710</v>
      </c>
      <c r="K79" s="148">
        <v>710</v>
      </c>
      <c r="L79" t="s">
        <v>232</v>
      </c>
    </row>
    <row r="80" spans="1:12">
      <c r="A80" s="148" t="s">
        <v>1372</v>
      </c>
      <c r="B80" s="148" t="s">
        <v>732</v>
      </c>
      <c r="C80" s="149">
        <v>45836</v>
      </c>
      <c r="D80" s="148" t="s">
        <v>1373</v>
      </c>
      <c r="E80" s="148" t="s">
        <v>1374</v>
      </c>
      <c r="F80" s="148" t="s">
        <v>1375</v>
      </c>
      <c r="G80" s="148">
        <v>521</v>
      </c>
      <c r="H80" s="148">
        <v>180</v>
      </c>
      <c r="I80" s="148">
        <v>701</v>
      </c>
      <c r="K80" s="148">
        <v>701</v>
      </c>
      <c r="L80" t="s">
        <v>232</v>
      </c>
    </row>
    <row r="81" spans="1:12">
      <c r="A81" s="148" t="s">
        <v>1376</v>
      </c>
      <c r="B81" s="148" t="s">
        <v>732</v>
      </c>
      <c r="C81" s="149">
        <v>45836</v>
      </c>
      <c r="D81" s="148" t="s">
        <v>235</v>
      </c>
      <c r="E81" s="148" t="s">
        <v>1377</v>
      </c>
      <c r="F81" s="148" t="s">
        <v>1378</v>
      </c>
      <c r="G81" s="148">
        <v>12633.11</v>
      </c>
      <c r="H81" s="148">
        <v>1896</v>
      </c>
      <c r="I81" s="148">
        <v>14529.11</v>
      </c>
      <c r="K81" s="148">
        <v>14529.11</v>
      </c>
      <c r="L81" t="s">
        <v>230</v>
      </c>
    </row>
    <row r="82" spans="1:12">
      <c r="A82" s="148" t="s">
        <v>1379</v>
      </c>
      <c r="B82" s="148" t="s">
        <v>732</v>
      </c>
      <c r="C82" s="149">
        <v>45838</v>
      </c>
      <c r="D82" s="148" t="s">
        <v>1380</v>
      </c>
      <c r="E82" s="148" t="s">
        <v>1381</v>
      </c>
      <c r="F82" s="148" t="s">
        <v>1382</v>
      </c>
      <c r="G82" s="148">
        <v>1000</v>
      </c>
      <c r="H82" s="148">
        <v>700</v>
      </c>
      <c r="I82" s="148">
        <v>1700</v>
      </c>
      <c r="K82" s="148">
        <v>1700</v>
      </c>
      <c r="L82" t="s">
        <v>232</v>
      </c>
    </row>
    <row r="83" spans="1:12">
      <c r="A83" s="148" t="s">
        <v>1446</v>
      </c>
      <c r="B83" s="148" t="s">
        <v>13</v>
      </c>
      <c r="C83" s="149">
        <v>45839</v>
      </c>
      <c r="D83" s="148" t="s">
        <v>235</v>
      </c>
      <c r="E83" s="148" t="s">
        <v>1381</v>
      </c>
      <c r="F83" s="148" t="s">
        <v>1447</v>
      </c>
      <c r="G83" s="150">
        <v>13388.96</v>
      </c>
      <c r="H83" s="150">
        <v>2076</v>
      </c>
      <c r="I83" s="150">
        <v>15464.96</v>
      </c>
      <c r="K83" s="150">
        <v>15464.96</v>
      </c>
      <c r="L83" t="s">
        <v>230</v>
      </c>
    </row>
    <row r="84" spans="1:12">
      <c r="A84" s="148" t="s">
        <v>1448</v>
      </c>
      <c r="B84" s="148" t="s">
        <v>13</v>
      </c>
      <c r="C84" s="149">
        <v>45842</v>
      </c>
      <c r="D84" s="148" t="s">
        <v>235</v>
      </c>
      <c r="E84" s="148" t="s">
        <v>1449</v>
      </c>
      <c r="F84" s="148" t="s">
        <v>1450</v>
      </c>
      <c r="G84" s="150">
        <v>3115.94</v>
      </c>
      <c r="H84" s="150">
        <v>2304</v>
      </c>
      <c r="I84" s="150">
        <v>5419.94</v>
      </c>
      <c r="K84" s="150">
        <v>5419.94</v>
      </c>
      <c r="L84" t="s">
        <v>230</v>
      </c>
    </row>
    <row r="85" spans="1:12">
      <c r="A85" s="148" t="s">
        <v>1451</v>
      </c>
      <c r="B85" s="148" t="s">
        <v>13</v>
      </c>
      <c r="C85" s="149">
        <v>45845</v>
      </c>
      <c r="D85" s="148" t="s">
        <v>235</v>
      </c>
      <c r="E85" s="148" t="s">
        <v>1452</v>
      </c>
      <c r="F85" s="148" t="s">
        <v>1453</v>
      </c>
      <c r="G85" s="150">
        <v>5064.3500000000004</v>
      </c>
      <c r="H85" s="150">
        <v>2244</v>
      </c>
      <c r="I85" s="150">
        <v>7308.35</v>
      </c>
      <c r="K85" s="150">
        <v>7308.35</v>
      </c>
      <c r="L85" t="s">
        <v>230</v>
      </c>
    </row>
    <row r="86" spans="1:12">
      <c r="A86" s="148" t="s">
        <v>1454</v>
      </c>
      <c r="B86" s="148" t="s">
        <v>13</v>
      </c>
      <c r="C86" s="149">
        <v>45848</v>
      </c>
      <c r="D86" s="148" t="s">
        <v>235</v>
      </c>
      <c r="E86" s="148" t="s">
        <v>1455</v>
      </c>
      <c r="F86" s="148" t="s">
        <v>1456</v>
      </c>
      <c r="G86" s="150">
        <v>23082</v>
      </c>
      <c r="H86" s="150">
        <v>8496</v>
      </c>
      <c r="I86" s="150">
        <v>31578</v>
      </c>
      <c r="K86" s="150">
        <v>31578</v>
      </c>
      <c r="L86" t="s">
        <v>230</v>
      </c>
    </row>
    <row r="87" spans="1:12">
      <c r="A87" s="148" t="s">
        <v>1457</v>
      </c>
      <c r="B87" s="148" t="s">
        <v>13</v>
      </c>
      <c r="C87" s="149">
        <v>45850</v>
      </c>
      <c r="D87" s="148" t="s">
        <v>235</v>
      </c>
      <c r="E87" s="148" t="s">
        <v>1458</v>
      </c>
      <c r="F87" s="148" t="s">
        <v>1459</v>
      </c>
      <c r="G87" s="150">
        <v>1603.02</v>
      </c>
      <c r="H87" s="150">
        <v>276</v>
      </c>
      <c r="I87" s="150">
        <v>1879.02</v>
      </c>
      <c r="K87" s="150">
        <v>1879.02</v>
      </c>
      <c r="L87" t="s">
        <v>231</v>
      </c>
    </row>
    <row r="88" spans="1:12">
      <c r="A88" s="148" t="s">
        <v>1460</v>
      </c>
      <c r="B88" s="148" t="s">
        <v>13</v>
      </c>
      <c r="C88" s="149">
        <v>45852</v>
      </c>
      <c r="D88" s="148" t="s">
        <v>235</v>
      </c>
      <c r="E88" s="148" t="s">
        <v>1461</v>
      </c>
      <c r="F88" s="148" t="s">
        <v>1462</v>
      </c>
      <c r="G88" s="150">
        <v>1603.02</v>
      </c>
      <c r="H88" s="150">
        <v>276</v>
      </c>
      <c r="I88" s="150">
        <v>1879.02</v>
      </c>
      <c r="K88" s="150">
        <v>1879.02</v>
      </c>
      <c r="L88" t="s">
        <v>231</v>
      </c>
    </row>
    <row r="89" spans="1:12">
      <c r="A89" s="148" t="s">
        <v>1463</v>
      </c>
      <c r="B89" s="148" t="s">
        <v>13</v>
      </c>
      <c r="C89" s="149">
        <v>45852</v>
      </c>
      <c r="D89" s="148" t="s">
        <v>235</v>
      </c>
      <c r="E89" s="148" t="s">
        <v>1464</v>
      </c>
      <c r="F89" s="148" t="s">
        <v>1465</v>
      </c>
      <c r="G89" s="150">
        <v>2663.2</v>
      </c>
      <c r="H89" s="150">
        <v>240</v>
      </c>
      <c r="I89" s="150">
        <v>2903.2</v>
      </c>
      <c r="K89" s="150">
        <v>2903.2</v>
      </c>
      <c r="L89" t="s">
        <v>231</v>
      </c>
    </row>
    <row r="90" spans="1:12">
      <c r="A90" s="148" t="s">
        <v>1466</v>
      </c>
      <c r="B90" s="148" t="s">
        <v>13</v>
      </c>
      <c r="C90" s="149">
        <v>45854</v>
      </c>
      <c r="D90" s="148" t="s">
        <v>235</v>
      </c>
      <c r="E90" s="148" t="s">
        <v>1467</v>
      </c>
      <c r="F90" s="148" t="s">
        <v>1468</v>
      </c>
      <c r="G90" s="150">
        <v>1033.02</v>
      </c>
      <c r="H90" s="150">
        <v>276</v>
      </c>
      <c r="I90" s="150">
        <v>1309.02</v>
      </c>
      <c r="K90" s="150">
        <v>1309.02</v>
      </c>
      <c r="L90" t="s">
        <v>231</v>
      </c>
    </row>
    <row r="91" spans="1:12">
      <c r="A91" s="148" t="s">
        <v>1469</v>
      </c>
      <c r="B91" s="148" t="s">
        <v>13</v>
      </c>
      <c r="C91" s="149">
        <v>45856</v>
      </c>
      <c r="D91" s="148" t="s">
        <v>235</v>
      </c>
      <c r="E91" s="148" t="s">
        <v>1470</v>
      </c>
      <c r="F91" s="148" t="s">
        <v>1471</v>
      </c>
      <c r="G91" s="150">
        <v>4001.25</v>
      </c>
      <c r="H91" s="150">
        <v>2408.4</v>
      </c>
      <c r="I91" s="150">
        <v>6409.65</v>
      </c>
      <c r="K91" s="150">
        <v>6409.65</v>
      </c>
      <c r="L91" t="s">
        <v>232</v>
      </c>
    </row>
    <row r="92" spans="1:12">
      <c r="A92" s="148" t="s">
        <v>1472</v>
      </c>
      <c r="B92" s="148" t="s">
        <v>13</v>
      </c>
      <c r="C92" s="149">
        <v>45859</v>
      </c>
      <c r="D92" s="148" t="s">
        <v>235</v>
      </c>
      <c r="E92" s="148" t="s">
        <v>1223</v>
      </c>
      <c r="F92" s="148" t="s">
        <v>1473</v>
      </c>
      <c r="G92" s="150">
        <v>2463.6999999999998</v>
      </c>
      <c r="H92" s="150">
        <v>240</v>
      </c>
      <c r="I92" s="150">
        <v>2703.7</v>
      </c>
      <c r="K92" s="150">
        <v>2703.7</v>
      </c>
      <c r="L92" t="s">
        <v>231</v>
      </c>
    </row>
    <row r="93" spans="1:12">
      <c r="A93" s="148" t="s">
        <v>1474</v>
      </c>
      <c r="B93" s="148" t="s">
        <v>13</v>
      </c>
      <c r="C93" s="149">
        <v>45859</v>
      </c>
      <c r="D93" s="148" t="s">
        <v>235</v>
      </c>
      <c r="E93" s="148" t="s">
        <v>1475</v>
      </c>
      <c r="F93" s="148" t="s">
        <v>1476</v>
      </c>
      <c r="G93" s="150">
        <v>2591.7600000000002</v>
      </c>
      <c r="H93" s="150">
        <v>240</v>
      </c>
      <c r="I93" s="150">
        <v>2831.76</v>
      </c>
      <c r="K93" s="150">
        <v>2831.76</v>
      </c>
      <c r="L93" t="s">
        <v>231</v>
      </c>
    </row>
    <row r="94" spans="1:12">
      <c r="A94" s="148" t="s">
        <v>1477</v>
      </c>
      <c r="B94" s="148" t="s">
        <v>13</v>
      </c>
      <c r="C94" s="149">
        <v>45859</v>
      </c>
      <c r="D94" s="148" t="s">
        <v>235</v>
      </c>
      <c r="E94" s="148" t="s">
        <v>1478</v>
      </c>
      <c r="F94" s="148" t="s">
        <v>1479</v>
      </c>
      <c r="G94" s="150">
        <v>7723.73</v>
      </c>
      <c r="H94" s="150">
        <v>3708</v>
      </c>
      <c r="I94" s="150">
        <v>11431.73</v>
      </c>
      <c r="K94" s="150">
        <v>11431.73</v>
      </c>
      <c r="L94" t="s">
        <v>230</v>
      </c>
    </row>
    <row r="95" spans="1:12">
      <c r="A95" s="148" t="s">
        <v>1480</v>
      </c>
      <c r="B95" s="148" t="s">
        <v>13</v>
      </c>
      <c r="C95" s="149">
        <v>45861</v>
      </c>
      <c r="D95" s="148" t="s">
        <v>235</v>
      </c>
      <c r="E95" s="148" t="s">
        <v>1481</v>
      </c>
      <c r="F95" s="148" t="s">
        <v>1482</v>
      </c>
      <c r="G95" s="150">
        <v>3066.76</v>
      </c>
      <c r="H95" s="150">
        <v>240</v>
      </c>
      <c r="I95" s="150">
        <v>3306.76</v>
      </c>
      <c r="K95" s="150">
        <v>3306.76</v>
      </c>
      <c r="L95" t="s">
        <v>231</v>
      </c>
    </row>
    <row r="96" spans="1:12">
      <c r="A96" s="148" t="s">
        <v>1483</v>
      </c>
      <c r="B96" s="148" t="s">
        <v>13</v>
      </c>
      <c r="C96" s="149">
        <v>45867</v>
      </c>
      <c r="D96" s="148" t="s">
        <v>235</v>
      </c>
      <c r="E96" s="148" t="s">
        <v>1484</v>
      </c>
      <c r="F96" s="148" t="s">
        <v>1485</v>
      </c>
      <c r="G96" s="150">
        <v>2549.1999999999998</v>
      </c>
      <c r="H96" s="150">
        <v>240</v>
      </c>
      <c r="I96" s="150">
        <v>2789.2</v>
      </c>
      <c r="K96" s="150">
        <v>2789.2</v>
      </c>
      <c r="L96" t="s">
        <v>231</v>
      </c>
    </row>
    <row r="97" spans="1:13">
      <c r="A97" s="148" t="s">
        <v>1486</v>
      </c>
      <c r="B97" s="148" t="s">
        <v>13</v>
      </c>
      <c r="C97" s="149">
        <v>45868</v>
      </c>
      <c r="D97" s="148" t="s">
        <v>235</v>
      </c>
      <c r="E97" s="148" t="s">
        <v>1487</v>
      </c>
      <c r="F97" s="148" t="s">
        <v>1488</v>
      </c>
      <c r="G97" s="150">
        <v>1128.02</v>
      </c>
      <c r="H97" s="150">
        <v>276</v>
      </c>
      <c r="I97" s="150">
        <v>1404.02</v>
      </c>
      <c r="K97" s="150">
        <v>1404.02</v>
      </c>
      <c r="L97" t="s">
        <v>231</v>
      </c>
    </row>
    <row r="98" spans="1:13">
      <c r="A98" s="148" t="s">
        <v>1496</v>
      </c>
      <c r="B98" s="148" t="s">
        <v>733</v>
      </c>
      <c r="C98" s="149">
        <v>45881</v>
      </c>
      <c r="D98" s="148" t="s">
        <v>235</v>
      </c>
      <c r="E98" s="148" t="s">
        <v>1495</v>
      </c>
      <c r="F98" s="148" t="s">
        <v>1497</v>
      </c>
      <c r="G98" s="150">
        <v>1141.82</v>
      </c>
      <c r="H98" s="150">
        <v>262.2</v>
      </c>
      <c r="I98" s="150">
        <v>1404.02</v>
      </c>
      <c r="J98" s="150"/>
      <c r="K98" s="150">
        <v>1425</v>
      </c>
      <c r="L98" t="s">
        <v>231</v>
      </c>
    </row>
    <row r="99" spans="1:13">
      <c r="A99" s="148" t="s">
        <v>1498</v>
      </c>
      <c r="B99" s="148" t="s">
        <v>733</v>
      </c>
      <c r="C99" s="149">
        <v>45882</v>
      </c>
      <c r="D99" s="148" t="s">
        <v>235</v>
      </c>
      <c r="E99" s="148" t="s">
        <v>1499</v>
      </c>
      <c r="F99" s="148" t="s">
        <v>1500</v>
      </c>
      <c r="G99" s="150">
        <v>12709.77</v>
      </c>
      <c r="H99" s="150">
        <v>2200.1999999999998</v>
      </c>
      <c r="I99" s="150">
        <v>14909.97</v>
      </c>
      <c r="J99" s="150"/>
      <c r="K99" s="150">
        <v>15085.99</v>
      </c>
      <c r="L99" t="s">
        <v>230</v>
      </c>
    </row>
    <row r="100" spans="1:13">
      <c r="A100" s="148" t="s">
        <v>1501</v>
      </c>
      <c r="B100" s="148" t="s">
        <v>733</v>
      </c>
      <c r="C100" s="149">
        <v>45882</v>
      </c>
      <c r="D100" s="148" t="s">
        <v>235</v>
      </c>
      <c r="E100" s="148" t="s">
        <v>1502</v>
      </c>
      <c r="F100" s="148" t="s">
        <v>1503</v>
      </c>
      <c r="G100" s="150">
        <v>2603.7600000000002</v>
      </c>
      <c r="H100" s="150">
        <v>228</v>
      </c>
      <c r="I100" s="150">
        <v>2831.76</v>
      </c>
      <c r="J100" s="150"/>
      <c r="K100" s="150">
        <v>2850</v>
      </c>
      <c r="L100" t="s">
        <v>231</v>
      </c>
    </row>
    <row r="101" spans="1:13">
      <c r="A101" s="148" t="s">
        <v>1504</v>
      </c>
      <c r="B101" s="148" t="s">
        <v>733</v>
      </c>
      <c r="C101" s="149">
        <v>45884</v>
      </c>
      <c r="D101" s="148" t="s">
        <v>235</v>
      </c>
      <c r="E101" s="148" t="s">
        <v>1505</v>
      </c>
      <c r="F101" s="148" t="s">
        <v>1506</v>
      </c>
      <c r="G101" s="150">
        <v>1046.82</v>
      </c>
      <c r="H101" s="150">
        <v>262.2</v>
      </c>
      <c r="I101" s="150">
        <v>1309.02</v>
      </c>
      <c r="J101" s="150"/>
      <c r="K101" s="150">
        <v>1330</v>
      </c>
      <c r="L101" t="s">
        <v>231</v>
      </c>
    </row>
    <row r="102" spans="1:13">
      <c r="A102" s="148" t="s">
        <v>1507</v>
      </c>
      <c r="B102" s="148" t="s">
        <v>733</v>
      </c>
      <c r="C102" s="149">
        <v>45888</v>
      </c>
      <c r="D102" s="148" t="s">
        <v>235</v>
      </c>
      <c r="E102" s="148" t="s">
        <v>705</v>
      </c>
      <c r="F102" s="148" t="s">
        <v>1508</v>
      </c>
      <c r="G102" s="150">
        <v>1616.82</v>
      </c>
      <c r="H102" s="150">
        <v>262.2</v>
      </c>
      <c r="I102" s="150">
        <v>1879.02</v>
      </c>
      <c r="J102" s="150"/>
      <c r="K102" s="150">
        <v>1900</v>
      </c>
      <c r="L102" t="s">
        <v>231</v>
      </c>
    </row>
    <row r="103" spans="1:13">
      <c r="A103" s="148" t="s">
        <v>1509</v>
      </c>
      <c r="B103" s="148" t="s">
        <v>733</v>
      </c>
      <c r="C103" s="149">
        <v>45888</v>
      </c>
      <c r="D103" s="148" t="s">
        <v>235</v>
      </c>
      <c r="E103" s="148" t="s">
        <v>1510</v>
      </c>
      <c r="F103" s="148" t="s">
        <v>1511</v>
      </c>
      <c r="G103" s="150">
        <v>2603.7600000000002</v>
      </c>
      <c r="H103" s="150">
        <v>228</v>
      </c>
      <c r="I103" s="150">
        <v>2831.76</v>
      </c>
      <c r="J103" s="150"/>
      <c r="K103" s="150">
        <v>2850</v>
      </c>
      <c r="L103" t="s">
        <v>231</v>
      </c>
    </row>
    <row r="104" spans="1:13">
      <c r="A104" s="148" t="s">
        <v>1512</v>
      </c>
      <c r="B104" s="148" t="s">
        <v>733</v>
      </c>
      <c r="C104" s="149">
        <v>45889</v>
      </c>
      <c r="D104" s="148" t="s">
        <v>235</v>
      </c>
      <c r="E104" s="148" t="s">
        <v>1513</v>
      </c>
      <c r="F104" s="148" t="s">
        <v>1514</v>
      </c>
      <c r="G104" s="150">
        <v>1141.82</v>
      </c>
      <c r="H104" s="150">
        <v>262.2</v>
      </c>
      <c r="I104" s="150">
        <v>1404.02</v>
      </c>
      <c r="J104" s="150"/>
      <c r="K104" s="150">
        <v>1425</v>
      </c>
      <c r="L104" t="s">
        <v>231</v>
      </c>
    </row>
    <row r="105" spans="1:13">
      <c r="A105" s="148" t="s">
        <v>1515</v>
      </c>
      <c r="B105" s="148" t="s">
        <v>733</v>
      </c>
      <c r="C105" s="149">
        <v>45889</v>
      </c>
      <c r="D105" s="148" t="s">
        <v>235</v>
      </c>
      <c r="E105" s="148" t="s">
        <v>1516</v>
      </c>
      <c r="F105" s="148" t="s">
        <v>1517</v>
      </c>
      <c r="G105" s="150">
        <v>6062.9</v>
      </c>
      <c r="H105" s="150">
        <v>1242.5999999999999</v>
      </c>
      <c r="I105" s="150">
        <v>7305.5</v>
      </c>
      <c r="J105" s="150"/>
      <c r="K105" s="150">
        <v>7404.91</v>
      </c>
      <c r="L105" t="s">
        <v>230</v>
      </c>
    </row>
    <row r="106" spans="1:13">
      <c r="A106" s="148" t="s">
        <v>1518</v>
      </c>
      <c r="B106" s="148" t="s">
        <v>733</v>
      </c>
      <c r="C106" s="149">
        <v>45889</v>
      </c>
      <c r="D106" s="148" t="s">
        <v>235</v>
      </c>
      <c r="E106" s="148" t="s">
        <v>1519</v>
      </c>
      <c r="F106" s="148" t="s">
        <v>1520</v>
      </c>
      <c r="G106" s="150">
        <v>19921.41</v>
      </c>
      <c r="H106" s="150">
        <v>763.8</v>
      </c>
      <c r="I106" s="150">
        <v>20685.21</v>
      </c>
      <c r="J106" s="150"/>
      <c r="K106" s="150">
        <v>20746.310000000001</v>
      </c>
      <c r="L106" t="s">
        <v>230</v>
      </c>
    </row>
    <row r="107" spans="1:13">
      <c r="A107" s="148" t="s">
        <v>1521</v>
      </c>
      <c r="B107" s="148" t="s">
        <v>733</v>
      </c>
      <c r="C107" s="149">
        <v>45890</v>
      </c>
      <c r="D107" s="148" t="s">
        <v>235</v>
      </c>
      <c r="E107" s="148" t="s">
        <v>1039</v>
      </c>
      <c r="F107" s="148" t="s">
        <v>1522</v>
      </c>
      <c r="G107" s="150">
        <v>11985.11</v>
      </c>
      <c r="H107" s="150">
        <v>6235.8</v>
      </c>
      <c r="I107" s="150">
        <v>18220.91</v>
      </c>
      <c r="J107" s="150"/>
      <c r="K107" s="150">
        <v>18719.77</v>
      </c>
      <c r="L107" t="s">
        <v>230</v>
      </c>
    </row>
    <row r="108" spans="1:13">
      <c r="A108" s="148" t="s">
        <v>1523</v>
      </c>
      <c r="B108" s="148" t="s">
        <v>733</v>
      </c>
      <c r="C108" s="149">
        <v>45891</v>
      </c>
      <c r="D108" s="148" t="s">
        <v>235</v>
      </c>
      <c r="E108" s="148" t="s">
        <v>1524</v>
      </c>
      <c r="F108" s="148" t="s">
        <v>1525</v>
      </c>
      <c r="G108" s="150">
        <v>1616.82</v>
      </c>
      <c r="H108" s="150">
        <v>262.2</v>
      </c>
      <c r="I108" s="150">
        <v>1879.02</v>
      </c>
      <c r="J108" s="150"/>
      <c r="K108" s="150">
        <v>1900</v>
      </c>
      <c r="L108" t="s">
        <v>231</v>
      </c>
    </row>
    <row r="109" spans="1:13">
      <c r="A109" s="148" t="s">
        <v>1526</v>
      </c>
      <c r="B109" s="148" t="s">
        <v>733</v>
      </c>
      <c r="C109" s="149">
        <v>45891</v>
      </c>
      <c r="D109" s="148" t="s">
        <v>235</v>
      </c>
      <c r="E109" s="148" t="s">
        <v>1527</v>
      </c>
      <c r="F109" s="148" t="s">
        <v>1528</v>
      </c>
      <c r="G109" s="150">
        <v>2675.2</v>
      </c>
      <c r="H109" s="150">
        <v>228</v>
      </c>
      <c r="I109" s="150">
        <v>2903.2</v>
      </c>
      <c r="J109" s="150"/>
      <c r="K109" s="150">
        <v>2921.44</v>
      </c>
      <c r="L109" t="s">
        <v>231</v>
      </c>
    </row>
    <row r="110" spans="1:13">
      <c r="A110" s="148" t="s">
        <v>1529</v>
      </c>
      <c r="B110" s="148" t="s">
        <v>733</v>
      </c>
      <c r="C110" s="149">
        <v>45891</v>
      </c>
      <c r="D110" s="148" t="s">
        <v>235</v>
      </c>
      <c r="E110" s="148" t="s">
        <v>1530</v>
      </c>
      <c r="F110" s="148" t="s">
        <v>1531</v>
      </c>
      <c r="G110" s="150">
        <v>1616.82</v>
      </c>
      <c r="H110" s="150">
        <v>262.2</v>
      </c>
      <c r="I110" s="150">
        <v>1879.02</v>
      </c>
      <c r="J110" s="150"/>
      <c r="K110" s="150">
        <v>1900</v>
      </c>
      <c r="L110" t="s">
        <v>231</v>
      </c>
    </row>
    <row r="111" spans="1:13">
      <c r="A111" s="148" t="s">
        <v>1532</v>
      </c>
      <c r="B111" s="148" t="s">
        <v>733</v>
      </c>
      <c r="C111" s="149">
        <v>45891</v>
      </c>
      <c r="D111" s="148" t="s">
        <v>235</v>
      </c>
      <c r="E111" s="148" t="s">
        <v>1533</v>
      </c>
      <c r="F111" s="148" t="s">
        <v>1534</v>
      </c>
      <c r="G111" s="150">
        <v>3064.7</v>
      </c>
      <c r="H111" s="150">
        <v>228</v>
      </c>
      <c r="I111" s="150">
        <v>3292.7</v>
      </c>
      <c r="J111" s="150"/>
      <c r="K111" s="150">
        <v>3310.94</v>
      </c>
      <c r="L111" t="s">
        <v>231</v>
      </c>
    </row>
    <row r="112" spans="1:13">
      <c r="A112" s="148" t="s">
        <v>1535</v>
      </c>
      <c r="B112" s="148" t="s">
        <v>733</v>
      </c>
      <c r="C112" s="149">
        <v>45897</v>
      </c>
      <c r="D112" s="148" t="s">
        <v>235</v>
      </c>
      <c r="E112" s="148" t="s">
        <v>1536</v>
      </c>
      <c r="F112" s="148" t="s">
        <v>1537</v>
      </c>
      <c r="G112" s="150">
        <v>196</v>
      </c>
      <c r="H112" s="150">
        <v>480</v>
      </c>
      <c r="I112" s="150">
        <v>676</v>
      </c>
      <c r="J112" s="150"/>
      <c r="K112" s="150">
        <v>714.4</v>
      </c>
      <c r="L112" t="s">
        <v>232</v>
      </c>
      <c r="M112" t="s">
        <v>726</v>
      </c>
    </row>
    <row r="113" spans="1:12">
      <c r="A113" s="148" t="s">
        <v>1608</v>
      </c>
      <c r="B113" s="148" t="s">
        <v>734</v>
      </c>
      <c r="C113" s="149">
        <v>45904</v>
      </c>
      <c r="D113" s="148" t="s">
        <v>235</v>
      </c>
      <c r="E113" s="148" t="s">
        <v>1607</v>
      </c>
      <c r="F113" s="148" t="s">
        <v>1606</v>
      </c>
      <c r="G113" s="150">
        <v>2831</v>
      </c>
      <c r="H113" s="150">
        <v>239.4</v>
      </c>
      <c r="I113" s="150">
        <v>3070.4</v>
      </c>
      <c r="J113" s="150"/>
      <c r="K113" s="150">
        <v>3089.55</v>
      </c>
      <c r="L113" t="s">
        <v>231</v>
      </c>
    </row>
    <row r="114" spans="1:12">
      <c r="A114" s="148" t="s">
        <v>1605</v>
      </c>
      <c r="B114" s="148" t="s">
        <v>734</v>
      </c>
      <c r="C114" s="149">
        <v>45906</v>
      </c>
      <c r="D114" s="148" t="s">
        <v>235</v>
      </c>
      <c r="E114" s="148" t="s">
        <v>1604</v>
      </c>
      <c r="F114" s="148" t="s">
        <v>1603</v>
      </c>
      <c r="G114" s="150">
        <v>29654.63</v>
      </c>
      <c r="H114" s="150">
        <v>4172.3999999999996</v>
      </c>
      <c r="I114" s="150">
        <v>33827.03</v>
      </c>
      <c r="J114" s="150"/>
      <c r="K114" s="150">
        <v>34160.82</v>
      </c>
      <c r="L114" t="s">
        <v>230</v>
      </c>
    </row>
    <row r="115" spans="1:12">
      <c r="A115" s="148" t="s">
        <v>1602</v>
      </c>
      <c r="B115" s="148" t="s">
        <v>734</v>
      </c>
      <c r="C115" s="149">
        <v>45906</v>
      </c>
      <c r="D115" s="148" t="s">
        <v>235</v>
      </c>
      <c r="E115" s="148" t="s">
        <v>1543</v>
      </c>
      <c r="F115" s="148" t="s">
        <v>1601</v>
      </c>
      <c r="G115" s="150">
        <v>31836.97</v>
      </c>
      <c r="H115" s="150">
        <v>13064.4</v>
      </c>
      <c r="I115" s="150">
        <v>44901.37</v>
      </c>
      <c r="J115" s="150"/>
      <c r="K115" s="150">
        <v>45946.52</v>
      </c>
      <c r="L115" t="s">
        <v>230</v>
      </c>
    </row>
    <row r="116" spans="1:12">
      <c r="A116" s="148" t="s">
        <v>1600</v>
      </c>
      <c r="B116" s="148" t="s">
        <v>734</v>
      </c>
      <c r="C116" s="149">
        <v>45906</v>
      </c>
      <c r="D116" s="148" t="s">
        <v>235</v>
      </c>
      <c r="E116" s="148" t="s">
        <v>1546</v>
      </c>
      <c r="F116" s="148" t="s">
        <v>1599</v>
      </c>
      <c r="G116" s="150">
        <v>2128.7600000000002</v>
      </c>
      <c r="H116" s="150">
        <v>228</v>
      </c>
      <c r="I116" s="150">
        <v>2356.7600000000002</v>
      </c>
      <c r="J116" s="150"/>
      <c r="K116" s="150">
        <v>2375</v>
      </c>
      <c r="L116" t="s">
        <v>231</v>
      </c>
    </row>
    <row r="117" spans="1:12">
      <c r="A117" s="148" t="s">
        <v>1598</v>
      </c>
      <c r="B117" s="148" t="s">
        <v>734</v>
      </c>
      <c r="C117" s="149">
        <v>45908</v>
      </c>
      <c r="D117" s="148" t="s">
        <v>235</v>
      </c>
      <c r="E117" s="148" t="s">
        <v>390</v>
      </c>
      <c r="F117" s="148" t="s">
        <v>1597</v>
      </c>
      <c r="G117" s="150">
        <v>27539.46</v>
      </c>
      <c r="H117" s="150">
        <v>2519.4</v>
      </c>
      <c r="I117" s="150">
        <v>30058.86</v>
      </c>
      <c r="J117" s="150"/>
      <c r="K117" s="150">
        <v>30260.41</v>
      </c>
      <c r="L117" t="s">
        <v>230</v>
      </c>
    </row>
    <row r="118" spans="1:12">
      <c r="A118" s="148" t="s">
        <v>1596</v>
      </c>
      <c r="B118" s="148" t="s">
        <v>734</v>
      </c>
      <c r="C118" s="149">
        <v>45917</v>
      </c>
      <c r="D118" s="148" t="s">
        <v>235</v>
      </c>
      <c r="E118" s="148" t="s">
        <v>1595</v>
      </c>
      <c r="F118" s="148" t="s">
        <v>1594</v>
      </c>
      <c r="G118" s="150">
        <v>208.05</v>
      </c>
      <c r="H118" s="150">
        <v>114</v>
      </c>
      <c r="I118" s="150">
        <v>322.05</v>
      </c>
      <c r="J118" s="150"/>
      <c r="K118" s="150">
        <v>331.17</v>
      </c>
      <c r="L118" t="s">
        <v>231</v>
      </c>
    </row>
    <row r="119" spans="1:12">
      <c r="A119" s="148" t="s">
        <v>1593</v>
      </c>
      <c r="B119" s="148" t="s">
        <v>734</v>
      </c>
      <c r="C119" s="149">
        <v>45919</v>
      </c>
      <c r="D119" s="148" t="s">
        <v>235</v>
      </c>
      <c r="E119" s="148" t="s">
        <v>1592</v>
      </c>
      <c r="F119" s="148" t="s">
        <v>1591</v>
      </c>
      <c r="G119" s="150">
        <v>2603.7600000000002</v>
      </c>
      <c r="H119" s="150">
        <v>228</v>
      </c>
      <c r="I119" s="150">
        <v>2831.76</v>
      </c>
      <c r="J119" s="150"/>
      <c r="K119" s="150">
        <v>2850</v>
      </c>
      <c r="L119" t="s">
        <v>231</v>
      </c>
    </row>
    <row r="120" spans="1:12">
      <c r="A120" s="148" t="s">
        <v>1590</v>
      </c>
      <c r="B120" s="148" t="s">
        <v>734</v>
      </c>
      <c r="C120" s="149">
        <v>45920</v>
      </c>
      <c r="D120" s="148" t="s">
        <v>235</v>
      </c>
      <c r="E120" s="148" t="s">
        <v>1589</v>
      </c>
      <c r="F120" s="148" t="s">
        <v>1588</v>
      </c>
      <c r="G120" s="150">
        <v>15601.28</v>
      </c>
      <c r="H120" s="150">
        <v>1949.4</v>
      </c>
      <c r="I120" s="150">
        <v>17550.68</v>
      </c>
      <c r="J120" s="150"/>
      <c r="K120" s="150">
        <v>17706.63</v>
      </c>
      <c r="L120" t="s">
        <v>230</v>
      </c>
    </row>
    <row r="121" spans="1:12">
      <c r="A121" s="148" t="s">
        <v>1587</v>
      </c>
      <c r="B121" s="148" t="s">
        <v>734</v>
      </c>
      <c r="C121" s="149">
        <v>45929</v>
      </c>
      <c r="D121" s="148" t="s">
        <v>235</v>
      </c>
      <c r="E121" s="148" t="s">
        <v>1586</v>
      </c>
      <c r="F121" s="148" t="s">
        <v>1585</v>
      </c>
      <c r="G121" s="150">
        <v>3777.69</v>
      </c>
      <c r="H121" s="150">
        <v>1014.6</v>
      </c>
      <c r="I121" s="150">
        <v>4792.29</v>
      </c>
      <c r="J121" s="150"/>
      <c r="K121" s="150">
        <v>4873.46</v>
      </c>
      <c r="L121" t="s">
        <v>230</v>
      </c>
    </row>
    <row r="122" spans="1:12">
      <c r="A122" s="148" t="s">
        <v>1584</v>
      </c>
      <c r="B122" s="148" t="s">
        <v>734</v>
      </c>
      <c r="C122" s="149">
        <v>45930</v>
      </c>
      <c r="D122" s="148" t="s">
        <v>235</v>
      </c>
      <c r="E122" s="148" t="s">
        <v>369</v>
      </c>
      <c r="F122" s="148" t="s">
        <v>1583</v>
      </c>
      <c r="G122" s="150">
        <v>12980.9</v>
      </c>
      <c r="H122" s="150">
        <v>2462.4</v>
      </c>
      <c r="I122" s="150">
        <v>15443.3</v>
      </c>
      <c r="J122" s="150"/>
      <c r="K122" s="150">
        <v>15640.29</v>
      </c>
      <c r="L122" t="s">
        <v>230</v>
      </c>
    </row>
    <row r="123" spans="1:12">
      <c r="A123" s="148" t="s">
        <v>1645</v>
      </c>
      <c r="B123" s="148" t="s">
        <v>735</v>
      </c>
      <c r="C123" s="149">
        <v>45933</v>
      </c>
      <c r="D123" s="148" t="s">
        <v>235</v>
      </c>
      <c r="E123" s="148" t="s">
        <v>1646</v>
      </c>
      <c r="F123" s="148" t="s">
        <v>1647</v>
      </c>
      <c r="G123" s="150">
        <v>6028.85</v>
      </c>
      <c r="H123" s="150">
        <v>1926.6</v>
      </c>
      <c r="I123" s="150">
        <v>7955.45</v>
      </c>
      <c r="J123" s="150"/>
      <c r="K123" s="150">
        <v>8109.58</v>
      </c>
      <c r="L123" t="s">
        <v>230</v>
      </c>
    </row>
    <row r="124" spans="1:12">
      <c r="A124" s="148" t="s">
        <v>1648</v>
      </c>
      <c r="B124" s="148" t="s">
        <v>735</v>
      </c>
      <c r="C124" s="149">
        <v>45936</v>
      </c>
      <c r="D124" s="148" t="s">
        <v>235</v>
      </c>
      <c r="E124" s="148" t="s">
        <v>1649</v>
      </c>
      <c r="F124" s="148" t="s">
        <v>1650</v>
      </c>
      <c r="G124" s="150">
        <v>236.6</v>
      </c>
      <c r="H124" s="150">
        <v>200</v>
      </c>
      <c r="I124" s="150">
        <v>136.6</v>
      </c>
      <c r="J124" s="150">
        <v>300</v>
      </c>
      <c r="K124" s="150">
        <v>152.6</v>
      </c>
      <c r="L124" t="s">
        <v>232</v>
      </c>
    </row>
    <row r="125" spans="1:12">
      <c r="A125" s="148" t="s">
        <v>1651</v>
      </c>
      <c r="B125" s="148" t="s">
        <v>735</v>
      </c>
      <c r="C125" s="149">
        <v>45936</v>
      </c>
      <c r="D125" s="148" t="s">
        <v>235</v>
      </c>
      <c r="E125" s="148" t="s">
        <v>1616</v>
      </c>
      <c r="F125" s="148" t="s">
        <v>1652</v>
      </c>
      <c r="G125" s="150">
        <v>19314.07</v>
      </c>
      <c r="H125" s="150">
        <v>6862.8</v>
      </c>
      <c r="I125" s="150">
        <v>26176.87</v>
      </c>
      <c r="J125" s="150"/>
      <c r="K125" s="150">
        <v>26725.89</v>
      </c>
      <c r="L125" t="s">
        <v>230</v>
      </c>
    </row>
    <row r="126" spans="1:12">
      <c r="A126" s="148" t="s">
        <v>1653</v>
      </c>
      <c r="B126" s="148" t="s">
        <v>735</v>
      </c>
      <c r="C126" s="149">
        <v>45937</v>
      </c>
      <c r="D126" s="148" t="s">
        <v>1654</v>
      </c>
      <c r="E126" s="148" t="s">
        <v>1655</v>
      </c>
      <c r="F126" s="148" t="s">
        <v>1656</v>
      </c>
      <c r="G126" s="150">
        <v>93</v>
      </c>
      <c r="H126" s="150"/>
      <c r="I126" s="150">
        <v>93</v>
      </c>
      <c r="J126" s="150"/>
      <c r="K126" s="150">
        <v>93</v>
      </c>
      <c r="L126" t="s">
        <v>232</v>
      </c>
    </row>
    <row r="127" spans="1:12">
      <c r="A127" s="148" t="s">
        <v>1657</v>
      </c>
      <c r="B127" s="148" t="s">
        <v>735</v>
      </c>
      <c r="C127" s="149">
        <v>45940</v>
      </c>
      <c r="D127" s="148" t="s">
        <v>235</v>
      </c>
      <c r="E127" s="148" t="s">
        <v>1658</v>
      </c>
      <c r="F127" s="148" t="s">
        <v>1659</v>
      </c>
      <c r="G127" s="150">
        <v>4805.1000000000004</v>
      </c>
      <c r="H127" s="150">
        <v>2314.1999999999998</v>
      </c>
      <c r="I127" s="150">
        <v>7119.3</v>
      </c>
      <c r="J127" s="150"/>
      <c r="K127" s="150">
        <v>7304.44</v>
      </c>
      <c r="L127" t="s">
        <v>230</v>
      </c>
    </row>
    <row r="128" spans="1:12">
      <c r="A128" s="148" t="s">
        <v>1660</v>
      </c>
      <c r="B128" s="148" t="s">
        <v>735</v>
      </c>
      <c r="C128" s="149">
        <v>45944</v>
      </c>
      <c r="D128" s="148" t="s">
        <v>235</v>
      </c>
      <c r="E128" s="148" t="s">
        <v>1661</v>
      </c>
      <c r="F128" s="148" t="s">
        <v>1662</v>
      </c>
      <c r="G128" s="150">
        <v>1614.05</v>
      </c>
      <c r="H128" s="150">
        <v>262.2</v>
      </c>
      <c r="I128" s="150">
        <v>1876.25</v>
      </c>
      <c r="J128" s="150"/>
      <c r="K128" s="150">
        <v>1897.23</v>
      </c>
      <c r="L128" t="s">
        <v>231</v>
      </c>
    </row>
    <row r="129" spans="1:12">
      <c r="A129" s="148" t="s">
        <v>1663</v>
      </c>
      <c r="B129" s="148" t="s">
        <v>735</v>
      </c>
      <c r="C129" s="149">
        <v>45945</v>
      </c>
      <c r="D129" s="148" t="s">
        <v>235</v>
      </c>
      <c r="E129" s="148" t="s">
        <v>1664</v>
      </c>
      <c r="F129" s="148" t="s">
        <v>1665</v>
      </c>
      <c r="G129" s="150">
        <v>1141.82</v>
      </c>
      <c r="H129" s="150">
        <v>262.2</v>
      </c>
      <c r="I129" s="150">
        <v>1404.02</v>
      </c>
      <c r="J129" s="150"/>
      <c r="K129" s="150">
        <v>1425</v>
      </c>
      <c r="L129" t="s">
        <v>231</v>
      </c>
    </row>
    <row r="130" spans="1:12">
      <c r="A130" s="148" t="s">
        <v>1666</v>
      </c>
      <c r="B130" s="148" t="s">
        <v>735</v>
      </c>
      <c r="C130" s="149">
        <v>45946</v>
      </c>
      <c r="D130" s="148" t="s">
        <v>235</v>
      </c>
      <c r="E130" s="148" t="s">
        <v>1667</v>
      </c>
      <c r="F130" s="148" t="s">
        <v>1668</v>
      </c>
      <c r="G130" s="150">
        <v>2591.4499999999998</v>
      </c>
      <c r="H130" s="150">
        <v>239.4</v>
      </c>
      <c r="I130" s="150">
        <v>2830.85</v>
      </c>
      <c r="J130" s="150"/>
      <c r="K130" s="150">
        <v>2850</v>
      </c>
      <c r="L130" t="s">
        <v>231</v>
      </c>
    </row>
    <row r="131" spans="1:12">
      <c r="A131" s="148" t="s">
        <v>1669</v>
      </c>
      <c r="B131" s="148" t="s">
        <v>735</v>
      </c>
      <c r="C131" s="149">
        <v>45954</v>
      </c>
      <c r="D131" s="148" t="s">
        <v>235</v>
      </c>
      <c r="E131" s="148" t="s">
        <v>1274</v>
      </c>
      <c r="F131" s="148" t="s">
        <v>1670</v>
      </c>
      <c r="G131" s="150">
        <v>63829.74</v>
      </c>
      <c r="H131" s="150">
        <v>10921.2</v>
      </c>
      <c r="I131" s="150">
        <v>74750.94</v>
      </c>
      <c r="J131" s="150"/>
      <c r="K131" s="150">
        <v>75624.639999999999</v>
      </c>
      <c r="L131" t="s">
        <v>230</v>
      </c>
    </row>
    <row r="132" spans="1:12">
      <c r="A132" s="148" t="s">
        <v>1671</v>
      </c>
      <c r="B132" s="148" t="s">
        <v>735</v>
      </c>
      <c r="C132" s="149">
        <v>45957</v>
      </c>
      <c r="D132" s="148" t="s">
        <v>235</v>
      </c>
      <c r="E132" s="148" t="s">
        <v>1610</v>
      </c>
      <c r="F132" s="148" t="s">
        <v>1672</v>
      </c>
      <c r="G132" s="150">
        <v>13838.66</v>
      </c>
      <c r="H132" s="150">
        <v>4605.6000000000004</v>
      </c>
      <c r="I132" s="150">
        <v>18444.259999999998</v>
      </c>
      <c r="J132" s="150"/>
      <c r="K132" s="150">
        <v>18812.71</v>
      </c>
      <c r="L132" t="s">
        <v>230</v>
      </c>
    </row>
    <row r="133" spans="1:12">
      <c r="A133" s="148" t="s">
        <v>1673</v>
      </c>
      <c r="B133" s="148" t="s">
        <v>735</v>
      </c>
      <c r="C133" s="149">
        <v>45957</v>
      </c>
      <c r="D133" s="148" t="s">
        <v>235</v>
      </c>
      <c r="E133" s="148" t="s">
        <v>446</v>
      </c>
      <c r="F133" s="148" t="s">
        <v>1674</v>
      </c>
      <c r="G133" s="150">
        <v>1616.82</v>
      </c>
      <c r="H133" s="150">
        <v>262.2</v>
      </c>
      <c r="I133" s="150">
        <v>1879.02</v>
      </c>
      <c r="J133" s="150"/>
      <c r="K133" s="150">
        <v>1900</v>
      </c>
      <c r="L133" t="s">
        <v>231</v>
      </c>
    </row>
    <row r="134" spans="1:12">
      <c r="A134" s="148" t="s">
        <v>1675</v>
      </c>
      <c r="B134" s="148" t="s">
        <v>735</v>
      </c>
      <c r="C134" s="149">
        <v>45958</v>
      </c>
      <c r="D134" s="148" t="s">
        <v>235</v>
      </c>
      <c r="E134" s="148" t="s">
        <v>1676</v>
      </c>
      <c r="F134" s="148" t="s">
        <v>1677</v>
      </c>
      <c r="G134" s="150">
        <v>1186.55</v>
      </c>
      <c r="H134" s="150">
        <v>216.6</v>
      </c>
      <c r="I134" s="150">
        <v>1403.15</v>
      </c>
      <c r="J134" s="150"/>
      <c r="K134" s="150">
        <v>1420.48</v>
      </c>
      <c r="L134" t="s">
        <v>231</v>
      </c>
    </row>
    <row r="135" spans="1:12">
      <c r="A135" s="148" t="s">
        <v>1678</v>
      </c>
      <c r="B135" s="148" t="s">
        <v>735</v>
      </c>
      <c r="C135" s="149">
        <v>45960</v>
      </c>
      <c r="D135" s="148" t="s">
        <v>235</v>
      </c>
      <c r="E135" s="148" t="s">
        <v>1679</v>
      </c>
      <c r="F135" s="148" t="s">
        <v>1680</v>
      </c>
      <c r="G135" s="150">
        <v>5017.33</v>
      </c>
      <c r="H135" s="150">
        <v>1447.8</v>
      </c>
      <c r="I135" s="150">
        <v>6465.13</v>
      </c>
      <c r="J135" s="150"/>
      <c r="K135" s="150">
        <v>6580.95</v>
      </c>
      <c r="L135" t="s">
        <v>230</v>
      </c>
    </row>
    <row r="136" spans="1:12">
      <c r="A136" s="148" t="s">
        <v>1715</v>
      </c>
      <c r="B136" s="148" t="s">
        <v>736</v>
      </c>
      <c r="C136" s="149">
        <v>45964</v>
      </c>
      <c r="D136" s="148" t="s">
        <v>235</v>
      </c>
      <c r="E136" s="148" t="s">
        <v>1716</v>
      </c>
      <c r="F136" s="148" t="s">
        <v>1717</v>
      </c>
      <c r="G136" s="150">
        <v>49763.57</v>
      </c>
      <c r="H136" s="150">
        <v>3591</v>
      </c>
      <c r="I136" s="150">
        <v>53354.57</v>
      </c>
      <c r="J136" s="150"/>
      <c r="K136" s="150">
        <v>53641.85</v>
      </c>
      <c r="L136" t="s">
        <v>230</v>
      </c>
    </row>
    <row r="137" spans="1:12">
      <c r="A137" s="148" t="s">
        <v>1718</v>
      </c>
      <c r="B137" s="148" t="s">
        <v>736</v>
      </c>
      <c r="C137" s="149">
        <v>45965</v>
      </c>
      <c r="D137" s="148" t="s">
        <v>235</v>
      </c>
      <c r="E137" s="148" t="s">
        <v>1719</v>
      </c>
      <c r="F137" s="148" t="s">
        <v>1720</v>
      </c>
      <c r="G137" s="150">
        <v>2532.6999999999998</v>
      </c>
      <c r="H137" s="150">
        <v>228</v>
      </c>
      <c r="I137" s="150">
        <v>2760.7</v>
      </c>
      <c r="J137" s="150"/>
      <c r="K137" s="150">
        <v>2778.94</v>
      </c>
      <c r="L137" t="s">
        <v>231</v>
      </c>
    </row>
    <row r="138" spans="1:12">
      <c r="A138" s="148" t="s">
        <v>1721</v>
      </c>
      <c r="B138" s="148" t="s">
        <v>736</v>
      </c>
      <c r="C138" s="149">
        <v>45967</v>
      </c>
      <c r="D138" s="148" t="s">
        <v>235</v>
      </c>
      <c r="E138" s="148" t="s">
        <v>1302</v>
      </c>
      <c r="F138" s="148" t="s">
        <v>1722</v>
      </c>
      <c r="G138" s="150">
        <v>10137.64</v>
      </c>
      <c r="H138" s="150">
        <v>1675.8</v>
      </c>
      <c r="I138" s="150">
        <v>11813.44</v>
      </c>
      <c r="J138" s="150"/>
      <c r="K138" s="150">
        <v>11947.5</v>
      </c>
      <c r="L138" t="s">
        <v>230</v>
      </c>
    </row>
    <row r="139" spans="1:12">
      <c r="A139" s="148" t="s">
        <v>1723</v>
      </c>
      <c r="B139" s="148" t="s">
        <v>736</v>
      </c>
      <c r="C139" s="149">
        <v>45972</v>
      </c>
      <c r="D139" s="148" t="s">
        <v>235</v>
      </c>
      <c r="E139" s="148" t="s">
        <v>1724</v>
      </c>
      <c r="F139" s="148" t="s">
        <v>1725</v>
      </c>
      <c r="G139" s="150">
        <v>7499.78</v>
      </c>
      <c r="H139" s="150">
        <v>3408.6</v>
      </c>
      <c r="I139" s="150">
        <v>10908.38</v>
      </c>
      <c r="J139" s="150"/>
      <c r="K139" s="150">
        <v>11181.07</v>
      </c>
      <c r="L139" t="s">
        <v>230</v>
      </c>
    </row>
    <row r="140" spans="1:12">
      <c r="A140" s="148" t="s">
        <v>1726</v>
      </c>
      <c r="B140" s="148" t="s">
        <v>736</v>
      </c>
      <c r="C140" s="149">
        <v>45973</v>
      </c>
      <c r="D140" s="148" t="s">
        <v>235</v>
      </c>
      <c r="E140" s="148" t="s">
        <v>1727</v>
      </c>
      <c r="F140" s="148" t="s">
        <v>1728</v>
      </c>
      <c r="G140" s="150">
        <v>2698.76</v>
      </c>
      <c r="H140" s="150">
        <v>228</v>
      </c>
      <c r="I140" s="150">
        <v>2926.76</v>
      </c>
      <c r="J140" s="150"/>
      <c r="K140" s="150">
        <v>2945</v>
      </c>
      <c r="L140" t="s">
        <v>231</v>
      </c>
    </row>
    <row r="141" spans="1:12">
      <c r="A141" s="148" t="s">
        <v>1729</v>
      </c>
      <c r="B141" s="148" t="s">
        <v>736</v>
      </c>
      <c r="C141" s="149">
        <v>45973</v>
      </c>
      <c r="D141" s="148" t="s">
        <v>235</v>
      </c>
      <c r="E141" s="148" t="s">
        <v>1730</v>
      </c>
      <c r="F141" s="148" t="s">
        <v>1731</v>
      </c>
      <c r="G141" s="150">
        <v>2698.76</v>
      </c>
      <c r="H141" s="150">
        <v>228</v>
      </c>
      <c r="I141" s="150">
        <v>2926.76</v>
      </c>
      <c r="J141" s="150"/>
      <c r="K141" s="150">
        <v>2945</v>
      </c>
      <c r="L141" t="s">
        <v>231</v>
      </c>
    </row>
    <row r="142" spans="1:12">
      <c r="A142" s="148" t="s">
        <v>1732</v>
      </c>
      <c r="B142" s="148" t="s">
        <v>736</v>
      </c>
      <c r="C142" s="149">
        <v>45974</v>
      </c>
      <c r="D142" s="148" t="s">
        <v>235</v>
      </c>
      <c r="E142" s="148" t="s">
        <v>1733</v>
      </c>
      <c r="F142" s="148" t="s">
        <v>1734</v>
      </c>
      <c r="G142" s="150">
        <v>1616.82</v>
      </c>
      <c r="H142" s="150">
        <v>262.2</v>
      </c>
      <c r="I142" s="150">
        <v>1879.02</v>
      </c>
      <c r="J142" s="150"/>
      <c r="K142" s="150">
        <v>1900</v>
      </c>
      <c r="L142" t="s">
        <v>231</v>
      </c>
    </row>
    <row r="143" spans="1:12">
      <c r="A143" s="148" t="s">
        <v>1735</v>
      </c>
      <c r="B143" s="148" t="s">
        <v>736</v>
      </c>
      <c r="C143" s="149">
        <v>45975</v>
      </c>
      <c r="D143" s="148" t="s">
        <v>235</v>
      </c>
      <c r="E143" s="148" t="s">
        <v>1736</v>
      </c>
      <c r="F143" s="148" t="s">
        <v>1737</v>
      </c>
      <c r="G143" s="150">
        <v>1616.82</v>
      </c>
      <c r="H143" s="150">
        <v>262.2</v>
      </c>
      <c r="I143" s="150">
        <v>1879.02</v>
      </c>
      <c r="J143" s="150"/>
      <c r="K143" s="150">
        <v>1900</v>
      </c>
      <c r="L143" t="s">
        <v>231</v>
      </c>
    </row>
    <row r="144" spans="1:12">
      <c r="A144" s="148" t="s">
        <v>1738</v>
      </c>
      <c r="B144" s="148" t="s">
        <v>736</v>
      </c>
      <c r="C144" s="149">
        <v>45980</v>
      </c>
      <c r="D144" s="148" t="s">
        <v>235</v>
      </c>
      <c r="E144" s="148" t="s">
        <v>989</v>
      </c>
      <c r="F144" s="148" t="s">
        <v>1739</v>
      </c>
      <c r="G144" s="150">
        <v>2591.4499999999998</v>
      </c>
      <c r="H144" s="150">
        <v>239.4</v>
      </c>
      <c r="I144" s="150">
        <v>2830.85</v>
      </c>
      <c r="J144" s="150"/>
      <c r="K144" s="150">
        <v>2850</v>
      </c>
      <c r="L144" t="s">
        <v>231</v>
      </c>
    </row>
    <row r="145" spans="1:12">
      <c r="A145" s="148" t="s">
        <v>1740</v>
      </c>
      <c r="B145" s="148" t="s">
        <v>736</v>
      </c>
      <c r="C145" s="149">
        <v>45982</v>
      </c>
      <c r="D145" s="148" t="s">
        <v>235</v>
      </c>
      <c r="E145" s="148" t="s">
        <v>1741</v>
      </c>
      <c r="F145" s="148" t="s">
        <v>1742</v>
      </c>
      <c r="G145" s="150">
        <v>20212.39</v>
      </c>
      <c r="H145" s="150">
        <v>4286.3999999999996</v>
      </c>
      <c r="I145" s="150">
        <v>24498.79</v>
      </c>
      <c r="J145" s="150"/>
      <c r="K145" s="150">
        <v>24841.7</v>
      </c>
      <c r="L145" t="s">
        <v>230</v>
      </c>
    </row>
    <row r="146" spans="1:12">
      <c r="A146" s="148" t="s">
        <v>1760</v>
      </c>
      <c r="B146" s="148" t="s">
        <v>737</v>
      </c>
      <c r="C146" s="149">
        <v>45992</v>
      </c>
      <c r="D146" s="148" t="s">
        <v>235</v>
      </c>
      <c r="E146" s="148" t="s">
        <v>1761</v>
      </c>
      <c r="F146" s="148" t="s">
        <v>1762</v>
      </c>
      <c r="G146" s="150">
        <v>1901.82</v>
      </c>
      <c r="H146" s="150">
        <v>262.2</v>
      </c>
      <c r="I146" s="150">
        <v>2164.02</v>
      </c>
      <c r="J146" s="150"/>
      <c r="K146" s="150">
        <v>2185</v>
      </c>
      <c r="L146" t="s">
        <v>231</v>
      </c>
    </row>
    <row r="147" spans="1:12">
      <c r="A147" s="148" t="s">
        <v>1763</v>
      </c>
      <c r="B147" s="148" t="s">
        <v>737</v>
      </c>
      <c r="C147" s="149">
        <v>45997</v>
      </c>
      <c r="D147" s="148" t="s">
        <v>235</v>
      </c>
      <c r="E147" s="148" t="s">
        <v>1764</v>
      </c>
      <c r="F147" s="148" t="s">
        <v>1765</v>
      </c>
      <c r="G147" s="150">
        <v>666.82</v>
      </c>
      <c r="H147" s="150">
        <v>262.2</v>
      </c>
      <c r="I147" s="150">
        <v>929.02</v>
      </c>
      <c r="J147" s="150"/>
      <c r="K147" s="150">
        <v>950</v>
      </c>
      <c r="L147" t="s">
        <v>231</v>
      </c>
    </row>
    <row r="148" spans="1:12">
      <c r="A148" s="148" t="s">
        <v>1766</v>
      </c>
      <c r="B148" s="148" t="s">
        <v>737</v>
      </c>
      <c r="C148" s="149">
        <v>45999</v>
      </c>
      <c r="D148" s="148" t="s">
        <v>235</v>
      </c>
      <c r="E148" s="148" t="s">
        <v>1767</v>
      </c>
      <c r="F148" s="148" t="s">
        <v>1768</v>
      </c>
      <c r="G148" s="150">
        <v>27451.919999999998</v>
      </c>
      <c r="H148" s="150">
        <v>2861.4</v>
      </c>
      <c r="I148" s="150">
        <v>30313.32</v>
      </c>
      <c r="J148" s="150"/>
      <c r="K148" s="150">
        <v>30542.23</v>
      </c>
      <c r="L148" t="s">
        <v>230</v>
      </c>
    </row>
    <row r="149" spans="1:12">
      <c r="A149" s="148" t="s">
        <v>1769</v>
      </c>
      <c r="B149" s="148" t="s">
        <v>737</v>
      </c>
      <c r="C149" s="149">
        <v>45999</v>
      </c>
      <c r="D149" s="148" t="s">
        <v>235</v>
      </c>
      <c r="E149" s="148" t="s">
        <v>1770</v>
      </c>
      <c r="F149" s="148" t="s">
        <v>1771</v>
      </c>
      <c r="G149" s="150">
        <v>1616.82</v>
      </c>
      <c r="H149" s="150">
        <v>262.2</v>
      </c>
      <c r="I149" s="150">
        <v>1879.02</v>
      </c>
      <c r="J149" s="150"/>
      <c r="K149" s="150">
        <v>1900</v>
      </c>
      <c r="L149" t="s">
        <v>231</v>
      </c>
    </row>
    <row r="150" spans="1:12">
      <c r="A150" s="148" t="s">
        <v>1772</v>
      </c>
      <c r="B150" s="148" t="s">
        <v>737</v>
      </c>
      <c r="C150" s="149">
        <v>46000</v>
      </c>
      <c r="D150" s="148" t="s">
        <v>235</v>
      </c>
      <c r="E150" s="148" t="s">
        <v>1773</v>
      </c>
      <c r="F150" s="148" t="s">
        <v>1774</v>
      </c>
      <c r="G150" s="150">
        <v>2128.7600000000002</v>
      </c>
      <c r="H150" s="150">
        <v>228</v>
      </c>
      <c r="I150" s="150">
        <v>2356.7600000000002</v>
      </c>
      <c r="J150" s="150"/>
      <c r="K150" s="150">
        <v>2375</v>
      </c>
      <c r="L150" t="s">
        <v>231</v>
      </c>
    </row>
    <row r="151" spans="1:12">
      <c r="A151" s="148" t="s">
        <v>1775</v>
      </c>
      <c r="B151" s="148" t="s">
        <v>737</v>
      </c>
      <c r="C151" s="149">
        <v>46000</v>
      </c>
      <c r="D151" s="148" t="s">
        <v>235</v>
      </c>
      <c r="E151" s="148" t="s">
        <v>1776</v>
      </c>
      <c r="F151" s="148" t="s">
        <v>1777</v>
      </c>
      <c r="G151" s="150">
        <v>249.85</v>
      </c>
      <c r="H151" s="150">
        <v>171</v>
      </c>
      <c r="I151" s="150">
        <v>420.85</v>
      </c>
      <c r="J151" s="150"/>
      <c r="K151" s="150">
        <v>434.53</v>
      </c>
      <c r="L151" t="s">
        <v>231</v>
      </c>
    </row>
    <row r="152" spans="1:12">
      <c r="A152" s="148" t="s">
        <v>1778</v>
      </c>
      <c r="B152" s="148" t="s">
        <v>737</v>
      </c>
      <c r="C152" s="149">
        <v>46002</v>
      </c>
      <c r="D152" s="148" t="s">
        <v>235</v>
      </c>
      <c r="E152" s="148" t="s">
        <v>1779</v>
      </c>
      <c r="F152" s="148" t="s">
        <v>1780</v>
      </c>
      <c r="G152" s="150">
        <v>2091.8200000000002</v>
      </c>
      <c r="H152" s="150">
        <v>262.2</v>
      </c>
      <c r="I152" s="150">
        <v>2354.02</v>
      </c>
      <c r="J152" s="150"/>
      <c r="K152" s="150">
        <v>2375</v>
      </c>
      <c r="L152" t="s">
        <v>231</v>
      </c>
    </row>
    <row r="153" spans="1:12">
      <c r="A153" s="148" t="s">
        <v>1781</v>
      </c>
      <c r="B153" s="148" t="s">
        <v>737</v>
      </c>
      <c r="C153" s="149">
        <v>46008</v>
      </c>
      <c r="D153" s="148" t="s">
        <v>1782</v>
      </c>
      <c r="E153" s="148" t="s">
        <v>1783</v>
      </c>
      <c r="F153" s="148" t="s">
        <v>1784</v>
      </c>
      <c r="G153" s="150">
        <v>842</v>
      </c>
      <c r="H153" s="150">
        <v>120</v>
      </c>
      <c r="I153" s="150">
        <v>962</v>
      </c>
      <c r="J153" s="150"/>
      <c r="K153" s="150">
        <v>971.6</v>
      </c>
      <c r="L153" t="s">
        <v>232</v>
      </c>
    </row>
    <row r="154" spans="1:12">
      <c r="A154" s="148" t="s">
        <v>1788</v>
      </c>
      <c r="B154" s="148" t="s">
        <v>737</v>
      </c>
      <c r="C154" s="149">
        <v>46010</v>
      </c>
      <c r="D154" s="148" t="s">
        <v>235</v>
      </c>
      <c r="E154" s="148" t="s">
        <v>1789</v>
      </c>
      <c r="F154" s="148" t="s">
        <v>1790</v>
      </c>
      <c r="G154" s="206">
        <v>7993.02</v>
      </c>
      <c r="H154" s="206">
        <v>2314.1999999999998</v>
      </c>
      <c r="I154" s="150">
        <v>10307.219999999999</v>
      </c>
      <c r="J154" s="150"/>
      <c r="K154" s="148">
        <v>10492.36</v>
      </c>
      <c r="L154" t="s">
        <v>230</v>
      </c>
    </row>
    <row r="155" spans="1:12">
      <c r="A155" s="148" t="s">
        <v>1791</v>
      </c>
      <c r="B155" s="148" t="s">
        <v>737</v>
      </c>
      <c r="C155" s="149">
        <v>46015</v>
      </c>
      <c r="D155" s="148" t="s">
        <v>235</v>
      </c>
      <c r="E155" s="148" t="s">
        <v>1792</v>
      </c>
      <c r="F155" s="148" t="s">
        <v>1793</v>
      </c>
      <c r="G155" s="206">
        <v>25894.25</v>
      </c>
      <c r="H155" s="206">
        <v>3881.7</v>
      </c>
      <c r="I155" s="207">
        <v>29775.95</v>
      </c>
      <c r="J155" s="150"/>
      <c r="K155" s="150">
        <v>30086.49</v>
      </c>
      <c r="L155" t="s">
        <v>230</v>
      </c>
    </row>
    <row r="156" spans="1:12">
      <c r="A156" s="148" t="s">
        <v>1795</v>
      </c>
      <c r="B156" s="148" t="s">
        <v>737</v>
      </c>
      <c r="C156" s="149">
        <v>46017</v>
      </c>
      <c r="D156" s="148" t="s">
        <v>235</v>
      </c>
      <c r="E156" s="209" t="s">
        <v>1796</v>
      </c>
      <c r="F156" s="209" t="s">
        <v>1797</v>
      </c>
      <c r="G156" s="206">
        <v>2300.9</v>
      </c>
      <c r="H156" s="206">
        <v>190</v>
      </c>
      <c r="I156" s="207">
        <v>2490.9</v>
      </c>
      <c r="J156" s="150"/>
      <c r="K156" s="150">
        <v>2506.1</v>
      </c>
      <c r="L156" s="210" t="s">
        <v>231</v>
      </c>
    </row>
    <row r="157" spans="1:12">
      <c r="A157" s="148" t="s">
        <v>1798</v>
      </c>
      <c r="B157" s="148" t="s">
        <v>737</v>
      </c>
      <c r="C157" s="149">
        <v>46017</v>
      </c>
      <c r="D157" s="148" t="s">
        <v>235</v>
      </c>
      <c r="E157" s="209" t="s">
        <v>1799</v>
      </c>
      <c r="F157" s="209" t="s">
        <v>1800</v>
      </c>
      <c r="G157" s="206">
        <v>5570.33</v>
      </c>
      <c r="H157" s="206">
        <v>2029.2</v>
      </c>
      <c r="I157" s="207">
        <v>7599.53</v>
      </c>
      <c r="K157" s="50">
        <v>7761.87</v>
      </c>
      <c r="L157" s="210" t="s">
        <v>230</v>
      </c>
    </row>
    <row r="158" spans="1:12">
      <c r="A158" s="148" t="s">
        <v>1804</v>
      </c>
      <c r="B158" s="148" t="s">
        <v>737</v>
      </c>
      <c r="C158" s="149">
        <v>46022</v>
      </c>
      <c r="D158" s="148" t="s">
        <v>235</v>
      </c>
      <c r="E158" s="148" t="s">
        <v>1805</v>
      </c>
      <c r="F158" s="148" t="s">
        <v>1806</v>
      </c>
      <c r="G158" s="206">
        <v>4546</v>
      </c>
      <c r="H158" s="206">
        <v>2223</v>
      </c>
      <c r="I158" s="207">
        <v>6769</v>
      </c>
      <c r="K158" s="50">
        <v>6946.84</v>
      </c>
      <c r="L158" s="211" t="s">
        <v>230</v>
      </c>
    </row>
    <row r="159" spans="1:12">
      <c r="A159" s="148" t="s">
        <v>1807</v>
      </c>
      <c r="B159" s="148" t="s">
        <v>737</v>
      </c>
      <c r="C159" s="149">
        <v>46022</v>
      </c>
      <c r="D159" s="148" t="s">
        <v>235</v>
      </c>
      <c r="E159" s="148" t="s">
        <v>1808</v>
      </c>
      <c r="F159" s="148" t="s">
        <v>1809</v>
      </c>
      <c r="G159" s="206">
        <v>23945.23</v>
      </c>
      <c r="H159" s="206">
        <v>5882.4</v>
      </c>
      <c r="I159" s="207">
        <v>29827.629999999997</v>
      </c>
      <c r="K159" s="50">
        <v>30298.22</v>
      </c>
      <c r="L159" s="211" t="s">
        <v>230</v>
      </c>
    </row>
    <row r="161" spans="1:10" ht="15.75" thickBot="1">
      <c r="I161" s="129">
        <f>SUM(I2:I159)</f>
        <v>1467531.4100000004</v>
      </c>
    </row>
    <row r="162" spans="1:10" ht="15.75" thickTop="1">
      <c r="A162" t="s">
        <v>893</v>
      </c>
    </row>
    <row r="164" spans="1:10">
      <c r="A164" t="s">
        <v>229</v>
      </c>
      <c r="B164" s="146" t="s">
        <v>856</v>
      </c>
      <c r="C164" s="105" t="s">
        <v>228</v>
      </c>
      <c r="D164" s="105" t="s">
        <v>227</v>
      </c>
      <c r="E164" t="s">
        <v>894</v>
      </c>
      <c r="F164" t="s">
        <v>29</v>
      </c>
      <c r="G164" t="s">
        <v>895</v>
      </c>
    </row>
    <row r="165" spans="1:10">
      <c r="A165" t="s">
        <v>1112</v>
      </c>
      <c r="B165" s="146" t="s">
        <v>729</v>
      </c>
      <c r="C165" s="105">
        <v>45700</v>
      </c>
      <c r="D165" s="105" t="s">
        <v>1113</v>
      </c>
      <c r="E165" t="s">
        <v>1042</v>
      </c>
      <c r="F165" s="50">
        <v>350</v>
      </c>
      <c r="G165" s="50">
        <v>350</v>
      </c>
      <c r="H165" s="147" t="s">
        <v>231</v>
      </c>
      <c r="I165" s="147" t="s">
        <v>26</v>
      </c>
      <c r="J165" s="147"/>
    </row>
    <row r="166" spans="1:10">
      <c r="A166" t="s">
        <v>1114</v>
      </c>
      <c r="B166" s="146" t="s">
        <v>738</v>
      </c>
      <c r="C166" s="105">
        <v>45727</v>
      </c>
      <c r="D166" s="105" t="s">
        <v>235</v>
      </c>
      <c r="E166" t="s">
        <v>1078</v>
      </c>
      <c r="F166" s="50">
        <v>1027.98</v>
      </c>
      <c r="G166" s="50">
        <v>1027.98</v>
      </c>
      <c r="H166" s="147" t="s">
        <v>231</v>
      </c>
      <c r="I166" s="147" t="s">
        <v>726</v>
      </c>
      <c r="J166" s="147"/>
    </row>
    <row r="167" spans="1:10">
      <c r="A167" t="s">
        <v>1115</v>
      </c>
      <c r="B167" s="146" t="s">
        <v>738</v>
      </c>
      <c r="C167" s="105">
        <v>45743</v>
      </c>
      <c r="D167" s="105" t="s">
        <v>235</v>
      </c>
      <c r="E167" t="s">
        <v>588</v>
      </c>
      <c r="F167" s="50">
        <v>380</v>
      </c>
      <c r="G167" s="50">
        <v>380</v>
      </c>
      <c r="H167" s="147" t="s">
        <v>230</v>
      </c>
      <c r="I167" s="147" t="s">
        <v>726</v>
      </c>
      <c r="J167" s="147"/>
    </row>
    <row r="168" spans="1:10">
      <c r="A168" t="s">
        <v>1116</v>
      </c>
      <c r="B168" s="146" t="s">
        <v>738</v>
      </c>
      <c r="C168" s="105">
        <v>45743</v>
      </c>
      <c r="D168" s="105" t="s">
        <v>235</v>
      </c>
      <c r="E168" t="s">
        <v>1104</v>
      </c>
      <c r="F168" s="50">
        <v>1597.05</v>
      </c>
      <c r="G168" s="50">
        <v>1597.05</v>
      </c>
      <c r="H168" s="147" t="s">
        <v>230</v>
      </c>
      <c r="I168" s="147" t="s">
        <v>726</v>
      </c>
      <c r="J168" s="147"/>
    </row>
    <row r="169" spans="1:10">
      <c r="A169" t="s">
        <v>1230</v>
      </c>
      <c r="B169" s="146" t="s">
        <v>730</v>
      </c>
      <c r="C169" s="105">
        <v>45775</v>
      </c>
      <c r="D169" s="105" t="s">
        <v>235</v>
      </c>
      <c r="E169" t="s">
        <v>1231</v>
      </c>
      <c r="F169" s="50">
        <v>179.74</v>
      </c>
      <c r="G169" s="50">
        <v>179.74</v>
      </c>
      <c r="H169" s="159" t="s">
        <v>231</v>
      </c>
      <c r="I169" s="147" t="s">
        <v>726</v>
      </c>
      <c r="J169" s="147"/>
    </row>
    <row r="170" spans="1:10">
      <c r="A170" t="s">
        <v>1232</v>
      </c>
      <c r="B170" s="146" t="s">
        <v>730</v>
      </c>
      <c r="C170" s="105">
        <v>45775</v>
      </c>
      <c r="D170" s="105" t="s">
        <v>235</v>
      </c>
      <c r="E170" t="s">
        <v>1233</v>
      </c>
      <c r="F170" s="50">
        <v>1805</v>
      </c>
      <c r="G170" s="50">
        <v>1805</v>
      </c>
      <c r="H170" s="159" t="s">
        <v>230</v>
      </c>
      <c r="I170" s="147" t="s">
        <v>726</v>
      </c>
      <c r="J170" s="147"/>
    </row>
    <row r="171" spans="1:10">
      <c r="A171" s="148" t="s">
        <v>1290</v>
      </c>
      <c r="B171" s="148" t="s">
        <v>731</v>
      </c>
      <c r="C171" s="149">
        <v>45790</v>
      </c>
      <c r="D171" s="148" t="s">
        <v>235</v>
      </c>
      <c r="E171" s="148" t="s">
        <v>1286</v>
      </c>
      <c r="F171" s="148">
        <v>353.55</v>
      </c>
      <c r="G171" s="148">
        <v>353.55</v>
      </c>
      <c r="H171" s="50" t="s">
        <v>230</v>
      </c>
      <c r="I171" s="50" t="s">
        <v>726</v>
      </c>
    </row>
    <row r="172" spans="1:10">
      <c r="A172" s="148" t="s">
        <v>1383</v>
      </c>
      <c r="B172" s="148" t="s">
        <v>732</v>
      </c>
      <c r="C172" s="149">
        <v>45814</v>
      </c>
      <c r="D172" s="148" t="s">
        <v>235</v>
      </c>
      <c r="E172" s="148" t="s">
        <v>1337</v>
      </c>
      <c r="F172" s="150">
        <v>1475.16</v>
      </c>
      <c r="G172" s="150">
        <v>1475.16</v>
      </c>
      <c r="H172" s="50" t="s">
        <v>230</v>
      </c>
      <c r="I172" s="147" t="s">
        <v>726</v>
      </c>
      <c r="J172" s="147"/>
    </row>
    <row r="173" spans="1:10">
      <c r="A173" s="148" t="s">
        <v>1384</v>
      </c>
      <c r="B173" s="148" t="s">
        <v>732</v>
      </c>
      <c r="C173" s="149">
        <v>45825</v>
      </c>
      <c r="D173" s="148" t="s">
        <v>235</v>
      </c>
      <c r="E173" s="148" t="s">
        <v>1349</v>
      </c>
      <c r="F173" s="150">
        <v>1045</v>
      </c>
      <c r="G173" s="150">
        <v>1045</v>
      </c>
      <c r="H173" s="50" t="s">
        <v>230</v>
      </c>
      <c r="I173" s="50" t="s">
        <v>726</v>
      </c>
    </row>
    <row r="174" spans="1:10">
      <c r="A174" s="148" t="s">
        <v>1489</v>
      </c>
      <c r="B174" s="148" t="s">
        <v>13</v>
      </c>
      <c r="C174" s="149">
        <v>45848</v>
      </c>
      <c r="D174" s="148" t="s">
        <v>235</v>
      </c>
      <c r="E174" s="148" t="s">
        <v>1461</v>
      </c>
      <c r="F174" s="150">
        <v>172.98</v>
      </c>
      <c r="G174" s="150">
        <v>172.98</v>
      </c>
      <c r="H174" s="50" t="s">
        <v>231</v>
      </c>
    </row>
    <row r="175" spans="1:10">
      <c r="A175" s="148" t="s">
        <v>1490</v>
      </c>
      <c r="B175" s="148" t="s">
        <v>13</v>
      </c>
      <c r="C175" s="149">
        <v>45849</v>
      </c>
      <c r="D175" s="148" t="s">
        <v>235</v>
      </c>
      <c r="E175" s="148" t="s">
        <v>1467</v>
      </c>
      <c r="F175" s="150">
        <v>172.98</v>
      </c>
      <c r="G175" s="150">
        <v>172.98</v>
      </c>
      <c r="H175" s="50" t="s">
        <v>231</v>
      </c>
    </row>
    <row r="176" spans="1:10">
      <c r="A176" s="148" t="s">
        <v>1491</v>
      </c>
      <c r="B176" s="148" t="s">
        <v>13</v>
      </c>
      <c r="C176" s="149">
        <v>45855</v>
      </c>
      <c r="D176" s="148" t="s">
        <v>235</v>
      </c>
      <c r="E176" s="148" t="s">
        <v>1492</v>
      </c>
      <c r="F176" s="150">
        <v>2185</v>
      </c>
      <c r="G176" s="150">
        <v>2185</v>
      </c>
      <c r="H176" s="50" t="s">
        <v>230</v>
      </c>
    </row>
    <row r="177" spans="1:8">
      <c r="A177" s="148" t="s">
        <v>1493</v>
      </c>
      <c r="B177" s="148" t="s">
        <v>13</v>
      </c>
      <c r="C177" s="149">
        <v>45862</v>
      </c>
      <c r="D177" s="148" t="s">
        <v>235</v>
      </c>
      <c r="E177" s="148" t="s">
        <v>1487</v>
      </c>
      <c r="F177" s="150">
        <v>77.98</v>
      </c>
      <c r="G177" s="150">
        <v>77.98</v>
      </c>
      <c r="H177" s="50" t="s">
        <v>231</v>
      </c>
    </row>
    <row r="178" spans="1:8">
      <c r="A178" s="148" t="s">
        <v>1494</v>
      </c>
      <c r="B178" s="148" t="s">
        <v>13</v>
      </c>
      <c r="C178" s="149">
        <v>45868</v>
      </c>
      <c r="D178" s="148" t="s">
        <v>235</v>
      </c>
      <c r="E178" s="148" t="s">
        <v>1495</v>
      </c>
      <c r="F178" s="150">
        <v>77.98</v>
      </c>
      <c r="G178" s="150">
        <v>77.98</v>
      </c>
      <c r="H178" s="50" t="s">
        <v>231</v>
      </c>
    </row>
    <row r="179" spans="1:8">
      <c r="A179" s="148" t="s">
        <v>1539</v>
      </c>
      <c r="B179" s="148" t="s">
        <v>733</v>
      </c>
      <c r="C179" s="149">
        <v>45881</v>
      </c>
      <c r="D179" s="148" t="s">
        <v>235</v>
      </c>
      <c r="E179" s="148" t="s">
        <v>1516</v>
      </c>
      <c r="F179" s="148">
        <v>943.35</v>
      </c>
      <c r="G179" s="148">
        <v>943.35</v>
      </c>
      <c r="H179" s="50" t="s">
        <v>230</v>
      </c>
    </row>
    <row r="180" spans="1:8">
      <c r="A180" s="148" t="s">
        <v>1540</v>
      </c>
      <c r="B180" s="148" t="s">
        <v>733</v>
      </c>
      <c r="C180" s="149">
        <v>45882</v>
      </c>
      <c r="D180" s="148" t="s">
        <v>235</v>
      </c>
      <c r="E180" s="148" t="s">
        <v>1505</v>
      </c>
      <c r="F180" s="148">
        <v>172.98</v>
      </c>
      <c r="G180" s="148">
        <v>172.98</v>
      </c>
      <c r="H180" s="50" t="s">
        <v>231</v>
      </c>
    </row>
    <row r="181" spans="1:8">
      <c r="A181" s="148" t="s">
        <v>1541</v>
      </c>
      <c r="B181" s="148" t="s">
        <v>733</v>
      </c>
      <c r="C181" s="149">
        <v>45883</v>
      </c>
      <c r="D181" s="148" t="s">
        <v>235</v>
      </c>
      <c r="E181" s="148" t="s">
        <v>1513</v>
      </c>
      <c r="F181" s="148">
        <v>77.98</v>
      </c>
      <c r="G181" s="148">
        <v>77.98</v>
      </c>
      <c r="H181" s="50" t="s">
        <v>231</v>
      </c>
    </row>
    <row r="182" spans="1:8">
      <c r="A182" s="148" t="s">
        <v>1542</v>
      </c>
      <c r="B182" s="148" t="s">
        <v>733</v>
      </c>
      <c r="C182" s="149">
        <v>45898</v>
      </c>
      <c r="D182" s="148" t="s">
        <v>235</v>
      </c>
      <c r="E182" s="148" t="s">
        <v>1543</v>
      </c>
      <c r="F182" s="148">
        <v>746.7</v>
      </c>
      <c r="G182" s="148">
        <v>746.7</v>
      </c>
      <c r="H182" s="50" t="s">
        <v>230</v>
      </c>
    </row>
    <row r="183" spans="1:8">
      <c r="A183" s="148" t="s">
        <v>1544</v>
      </c>
      <c r="B183" s="148" t="s">
        <v>733</v>
      </c>
      <c r="C183" s="149">
        <v>45888</v>
      </c>
      <c r="D183" s="148" t="s">
        <v>235</v>
      </c>
      <c r="E183" s="148" t="s">
        <v>705</v>
      </c>
      <c r="F183" s="148">
        <v>172.98</v>
      </c>
      <c r="G183" s="148">
        <v>172.98</v>
      </c>
      <c r="H183" s="50" t="s">
        <v>231</v>
      </c>
    </row>
    <row r="184" spans="1:8">
      <c r="A184" s="148" t="s">
        <v>1545</v>
      </c>
      <c r="B184" s="148" t="s">
        <v>733</v>
      </c>
      <c r="C184" s="149">
        <v>45899</v>
      </c>
      <c r="D184" s="148" t="s">
        <v>235</v>
      </c>
      <c r="E184" s="148" t="s">
        <v>1546</v>
      </c>
      <c r="F184" s="148">
        <v>115.71</v>
      </c>
      <c r="G184" s="148">
        <v>115.71</v>
      </c>
      <c r="H184" s="50" t="s">
        <v>231</v>
      </c>
    </row>
    <row r="185" spans="1:8">
      <c r="A185" s="148" t="s">
        <v>1609</v>
      </c>
      <c r="B185" s="148" t="s">
        <v>734</v>
      </c>
      <c r="C185" s="149">
        <v>45904</v>
      </c>
      <c r="D185" s="148" t="s">
        <v>235</v>
      </c>
      <c r="E185" s="148" t="s">
        <v>1610</v>
      </c>
      <c r="F185" s="150">
        <v>726.75</v>
      </c>
      <c r="G185" s="150">
        <v>726.75</v>
      </c>
      <c r="H185" s="50" t="s">
        <v>230</v>
      </c>
    </row>
    <row r="186" spans="1:8">
      <c r="A186" s="148" t="s">
        <v>1611</v>
      </c>
      <c r="B186" s="148" t="s">
        <v>734</v>
      </c>
      <c r="C186" s="149">
        <v>45906</v>
      </c>
      <c r="D186" s="148" t="s">
        <v>235</v>
      </c>
      <c r="E186" s="148" t="s">
        <v>1604</v>
      </c>
      <c r="F186" s="150">
        <v>248.9</v>
      </c>
      <c r="G186" s="150">
        <v>248.9</v>
      </c>
      <c r="H186" s="50" t="s">
        <v>230</v>
      </c>
    </row>
    <row r="187" spans="1:8">
      <c r="A187" s="148" t="s">
        <v>1612</v>
      </c>
      <c r="B187" s="148" t="s">
        <v>734</v>
      </c>
      <c r="C187" s="149">
        <v>45913</v>
      </c>
      <c r="D187" s="148" t="s">
        <v>235</v>
      </c>
      <c r="E187" s="148" t="s">
        <v>1592</v>
      </c>
      <c r="F187" s="150">
        <v>99.94</v>
      </c>
      <c r="G187" s="150">
        <v>99.94</v>
      </c>
      <c r="H187" s="50" t="s">
        <v>231</v>
      </c>
    </row>
    <row r="188" spans="1:8">
      <c r="A188" s="148" t="s">
        <v>1613</v>
      </c>
      <c r="B188" s="148" t="s">
        <v>734</v>
      </c>
      <c r="C188" s="149">
        <v>45925</v>
      </c>
      <c r="D188" s="148" t="s">
        <v>235</v>
      </c>
      <c r="E188" s="148" t="s">
        <v>1614</v>
      </c>
      <c r="F188" s="150">
        <v>1425</v>
      </c>
      <c r="G188" s="150">
        <v>1425</v>
      </c>
      <c r="H188" s="50" t="s">
        <v>230</v>
      </c>
    </row>
    <row r="189" spans="1:8">
      <c r="A189" s="148" t="s">
        <v>1615</v>
      </c>
      <c r="B189" s="148" t="s">
        <v>734</v>
      </c>
      <c r="C189" s="149">
        <v>45926</v>
      </c>
      <c r="D189" s="148" t="s">
        <v>235</v>
      </c>
      <c r="E189" s="148" t="s">
        <v>1616</v>
      </c>
      <c r="F189" s="150">
        <v>1130.5</v>
      </c>
      <c r="G189" s="150">
        <v>1130.5</v>
      </c>
      <c r="H189" s="50" t="s">
        <v>230</v>
      </c>
    </row>
    <row r="190" spans="1:8">
      <c r="A190" s="148" t="s">
        <v>1681</v>
      </c>
      <c r="B190" s="148" t="s">
        <v>735</v>
      </c>
      <c r="C190" s="149">
        <v>45940</v>
      </c>
      <c r="D190" s="148" t="s">
        <v>235</v>
      </c>
      <c r="E190" s="148" t="s">
        <v>1664</v>
      </c>
      <c r="F190" s="148">
        <v>410.48</v>
      </c>
      <c r="G190" s="148">
        <v>410.48</v>
      </c>
      <c r="H190" s="50" t="s">
        <v>231</v>
      </c>
    </row>
    <row r="191" spans="1:8">
      <c r="A191" s="148" t="s">
        <v>1682</v>
      </c>
      <c r="B191" s="148" t="s">
        <v>735</v>
      </c>
      <c r="C191" s="149">
        <v>45959</v>
      </c>
      <c r="D191" s="148" t="s">
        <v>235</v>
      </c>
      <c r="E191" s="148" t="s">
        <v>1610</v>
      </c>
      <c r="F191" s="148">
        <v>75.95</v>
      </c>
      <c r="G191" s="148">
        <v>75.95</v>
      </c>
      <c r="H191" s="50" t="s">
        <v>230</v>
      </c>
    </row>
    <row r="192" spans="1:8">
      <c r="A192" s="148" t="s">
        <v>1744</v>
      </c>
      <c r="B192" s="148" t="s">
        <v>736</v>
      </c>
      <c r="C192" s="105">
        <v>45971</v>
      </c>
      <c r="D192" s="148" t="s">
        <v>235</v>
      </c>
      <c r="E192" s="148" t="s">
        <v>1743</v>
      </c>
      <c r="F192" s="150">
        <v>172.98</v>
      </c>
      <c r="G192" s="50">
        <v>172.98</v>
      </c>
      <c r="H192" s="50" t="s">
        <v>231</v>
      </c>
    </row>
    <row r="193" spans="1:11">
      <c r="A193" s="148" t="s">
        <v>1785</v>
      </c>
      <c r="B193" s="148" t="s">
        <v>737</v>
      </c>
      <c r="C193" s="149">
        <v>45994</v>
      </c>
      <c r="D193" s="148" t="s">
        <v>235</v>
      </c>
      <c r="E193" s="148" t="s">
        <v>1764</v>
      </c>
      <c r="F193" s="150">
        <v>552.98</v>
      </c>
      <c r="G193" s="150">
        <v>552.98</v>
      </c>
      <c r="H193" s="50" t="s">
        <v>231</v>
      </c>
    </row>
    <row r="194" spans="1:11">
      <c r="A194" s="148" t="s">
        <v>1786</v>
      </c>
      <c r="B194" s="148" t="s">
        <v>737</v>
      </c>
      <c r="C194" s="149">
        <v>45996</v>
      </c>
      <c r="D194" s="148" t="s">
        <v>235</v>
      </c>
      <c r="E194" s="148" t="s">
        <v>1773</v>
      </c>
      <c r="F194" s="150">
        <v>455.24</v>
      </c>
      <c r="G194" s="150">
        <v>455.24</v>
      </c>
      <c r="H194" s="50" t="s">
        <v>231</v>
      </c>
    </row>
    <row r="195" spans="1:11">
      <c r="A195" s="148" t="s">
        <v>1787</v>
      </c>
      <c r="B195" s="148" t="s">
        <v>737</v>
      </c>
      <c r="C195" s="149">
        <v>45999</v>
      </c>
      <c r="D195" s="148" t="s">
        <v>235</v>
      </c>
      <c r="E195" s="148" t="s">
        <v>1767</v>
      </c>
      <c r="F195" s="150">
        <v>237.5</v>
      </c>
      <c r="G195" s="150">
        <v>237.5</v>
      </c>
      <c r="H195" s="50" t="s">
        <v>230</v>
      </c>
    </row>
    <row r="196" spans="1:11">
      <c r="A196" s="148" t="s">
        <v>1794</v>
      </c>
      <c r="B196" s="148" t="s">
        <v>737</v>
      </c>
      <c r="C196" s="149">
        <v>46015</v>
      </c>
      <c r="D196" s="148" t="s">
        <v>235</v>
      </c>
      <c r="E196" s="148" t="s">
        <v>1792</v>
      </c>
      <c r="F196" s="206">
        <v>133</v>
      </c>
      <c r="G196" s="208">
        <v>133</v>
      </c>
      <c r="H196" s="208" t="s">
        <v>230</v>
      </c>
      <c r="I196" s="208"/>
      <c r="J196" s="208"/>
      <c r="K196" s="208"/>
    </row>
    <row r="199" spans="1:11" ht="15.75" thickBot="1">
      <c r="G199" s="129">
        <f>SUM(G165:G178)+SUM(G179:G184)+SUM(G185:G189)+SUM(G190:G191)+G192+SUM(G193:G196)</f>
        <v>18799.32</v>
      </c>
    </row>
    <row r="200" spans="1:11" ht="15.75" thickTop="1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F7EB-C96D-4E0C-946A-64EEB06AF8B7}">
  <dimension ref="A1:L28"/>
  <sheetViews>
    <sheetView workbookViewId="0">
      <selection activeCell="M21" sqref="M21"/>
    </sheetView>
  </sheetViews>
  <sheetFormatPr defaultRowHeight="15"/>
  <cols>
    <col min="1" max="1" width="13.7109375" bestFit="1" customWidth="1"/>
    <col min="2" max="2" width="9.5703125" customWidth="1"/>
    <col min="3" max="3" width="11.5703125" customWidth="1"/>
    <col min="4" max="4" width="42.5703125" customWidth="1"/>
    <col min="5" max="5" width="14.5703125" bestFit="1" customWidth="1"/>
    <col min="6" max="6" width="15.42578125" bestFit="1" customWidth="1"/>
    <col min="7" max="7" width="11" customWidth="1"/>
    <col min="8" max="8" width="10" bestFit="1" customWidth="1"/>
    <col min="9" max="9" width="12.5703125" bestFit="1" customWidth="1"/>
    <col min="10" max="10" width="10.140625" customWidth="1"/>
    <col min="11" max="11" width="11.140625" bestFit="1" customWidth="1"/>
  </cols>
  <sheetData>
    <row r="1" spans="1:12">
      <c r="A1" t="s">
        <v>229</v>
      </c>
      <c r="B1" s="146" t="s">
        <v>856</v>
      </c>
      <c r="C1" s="105" t="s">
        <v>228</v>
      </c>
      <c r="D1" t="s">
        <v>227</v>
      </c>
      <c r="E1" t="s">
        <v>226</v>
      </c>
      <c r="F1" t="s">
        <v>225</v>
      </c>
      <c r="G1" s="50" t="s">
        <v>224</v>
      </c>
      <c r="H1" s="50" t="s">
        <v>223</v>
      </c>
      <c r="I1" s="50" t="s">
        <v>222</v>
      </c>
      <c r="J1" s="50" t="s">
        <v>1644</v>
      </c>
      <c r="K1" s="50" t="s">
        <v>29</v>
      </c>
      <c r="L1" s="146" t="s">
        <v>725</v>
      </c>
    </row>
    <row r="2" spans="1:12">
      <c r="A2" s="148" t="s">
        <v>1816</v>
      </c>
      <c r="B2" t="s">
        <v>1813</v>
      </c>
      <c r="C2" s="149">
        <v>46269</v>
      </c>
      <c r="D2" s="148" t="s">
        <v>235</v>
      </c>
      <c r="E2" s="148" t="s">
        <v>1818</v>
      </c>
      <c r="F2" s="148" t="s">
        <v>1820</v>
      </c>
      <c r="G2" s="150">
        <v>2070.0500000000002</v>
      </c>
      <c r="H2" s="150">
        <v>262.2</v>
      </c>
      <c r="I2" s="150">
        <f>+G2+H2</f>
        <v>2332.25</v>
      </c>
      <c r="J2" s="150">
        <v>0</v>
      </c>
      <c r="K2" s="50">
        <f>+I2-J2</f>
        <v>2332.25</v>
      </c>
      <c r="L2" t="s">
        <v>231</v>
      </c>
    </row>
    <row r="3" spans="1:12">
      <c r="A3" s="148" t="s">
        <v>1817</v>
      </c>
      <c r="B3" t="s">
        <v>1813</v>
      </c>
      <c r="C3" s="149">
        <v>46282</v>
      </c>
      <c r="D3" s="148" t="s">
        <v>235</v>
      </c>
      <c r="E3" s="148" t="s">
        <v>1819</v>
      </c>
      <c r="F3" s="148" t="s">
        <v>1821</v>
      </c>
      <c r="G3" s="150">
        <v>14843.18</v>
      </c>
      <c r="H3" s="150">
        <v>2394</v>
      </c>
      <c r="I3" s="150">
        <f>+G3+H3</f>
        <v>17237.18</v>
      </c>
      <c r="J3" s="150">
        <v>0</v>
      </c>
      <c r="K3" s="50">
        <f t="shared" ref="K3:K4" si="0">+I3-J3</f>
        <v>17237.18</v>
      </c>
      <c r="L3" t="s">
        <v>230</v>
      </c>
    </row>
    <row r="4" spans="1:12">
      <c r="A4" s="148" t="s">
        <v>1822</v>
      </c>
      <c r="B4" t="s">
        <v>1813</v>
      </c>
      <c r="C4" s="149">
        <v>46288</v>
      </c>
      <c r="D4" s="148" t="s">
        <v>235</v>
      </c>
      <c r="E4" s="148" t="s">
        <v>1823</v>
      </c>
      <c r="F4" s="148" t="s">
        <v>1824</v>
      </c>
      <c r="G4" s="150">
        <v>2044.4</v>
      </c>
      <c r="H4" s="150">
        <v>889.2</v>
      </c>
      <c r="I4" s="150">
        <f t="shared" ref="I4:I9" si="1">+G4+H4</f>
        <v>2933.6000000000004</v>
      </c>
      <c r="J4" s="150">
        <v>0</v>
      </c>
      <c r="K4" s="50">
        <f t="shared" si="0"/>
        <v>2933.6000000000004</v>
      </c>
      <c r="L4" t="s">
        <v>230</v>
      </c>
    </row>
    <row r="5" spans="1:12">
      <c r="A5" s="148" t="s">
        <v>1831</v>
      </c>
      <c r="B5" t="s">
        <v>1813</v>
      </c>
      <c r="C5" s="149">
        <v>46288</v>
      </c>
      <c r="D5" s="148" t="s">
        <v>235</v>
      </c>
      <c r="E5" s="148" t="s">
        <v>1832</v>
      </c>
      <c r="F5" s="148" t="s">
        <v>1833</v>
      </c>
      <c r="G5" s="150">
        <v>2137.58</v>
      </c>
      <c r="H5" s="150">
        <v>228</v>
      </c>
      <c r="I5" s="150">
        <f t="shared" si="1"/>
        <v>2365.58</v>
      </c>
      <c r="J5" s="150">
        <v>0</v>
      </c>
      <c r="K5" s="50">
        <f t="shared" ref="K5:K16" si="2">I5</f>
        <v>2365.58</v>
      </c>
      <c r="L5" t="s">
        <v>232</v>
      </c>
    </row>
    <row r="6" spans="1:12">
      <c r="A6" s="148" t="s">
        <v>1840</v>
      </c>
      <c r="B6" t="s">
        <v>1813</v>
      </c>
      <c r="C6" s="149">
        <v>46290</v>
      </c>
      <c r="D6" s="148" t="s">
        <v>235</v>
      </c>
      <c r="E6" s="148" t="s">
        <v>1843</v>
      </c>
      <c r="F6" s="148" t="s">
        <v>1846</v>
      </c>
      <c r="G6" s="150">
        <v>2128.7600000000002</v>
      </c>
      <c r="H6" s="150">
        <v>228</v>
      </c>
      <c r="I6" s="150">
        <f t="shared" si="1"/>
        <v>2356.7600000000002</v>
      </c>
      <c r="J6" s="150">
        <v>0</v>
      </c>
      <c r="K6" s="50">
        <f t="shared" si="2"/>
        <v>2356.7600000000002</v>
      </c>
      <c r="L6" s="239" t="s">
        <v>231</v>
      </c>
    </row>
    <row r="7" spans="1:12">
      <c r="A7" s="148" t="s">
        <v>1841</v>
      </c>
      <c r="B7" t="s">
        <v>1813</v>
      </c>
      <c r="C7" s="149">
        <v>46291</v>
      </c>
      <c r="D7" s="148" t="s">
        <v>235</v>
      </c>
      <c r="E7" s="237" t="s">
        <v>1844</v>
      </c>
      <c r="F7" s="225" t="s">
        <v>1847</v>
      </c>
      <c r="G7" s="150">
        <v>186</v>
      </c>
      <c r="H7" s="150">
        <v>540</v>
      </c>
      <c r="I7" s="150">
        <f t="shared" si="1"/>
        <v>726</v>
      </c>
      <c r="J7" s="150">
        <v>0</v>
      </c>
      <c r="K7" s="50">
        <f t="shared" si="2"/>
        <v>726</v>
      </c>
      <c r="L7" s="239" t="s">
        <v>232</v>
      </c>
    </row>
    <row r="8" spans="1:12">
      <c r="A8" s="148" t="s">
        <v>1842</v>
      </c>
      <c r="B8" t="s">
        <v>1813</v>
      </c>
      <c r="C8" s="149">
        <v>46291</v>
      </c>
      <c r="D8" s="148" t="s">
        <v>235</v>
      </c>
      <c r="E8" s="237" t="s">
        <v>1845</v>
      </c>
      <c r="F8" s="226" t="s">
        <v>1848</v>
      </c>
      <c r="G8" s="150">
        <v>336.3</v>
      </c>
      <c r="H8" s="150">
        <v>540</v>
      </c>
      <c r="I8" s="150">
        <f t="shared" si="1"/>
        <v>876.3</v>
      </c>
      <c r="J8" s="150">
        <v>0</v>
      </c>
      <c r="K8" s="50">
        <f t="shared" ref="K8:K9" si="3">I8</f>
        <v>876.3</v>
      </c>
      <c r="L8" s="239" t="s">
        <v>232</v>
      </c>
    </row>
    <row r="9" spans="1:12">
      <c r="A9" s="148" t="s">
        <v>1852</v>
      </c>
      <c r="B9" s="240" t="s">
        <v>1813</v>
      </c>
      <c r="C9" s="149">
        <v>46294</v>
      </c>
      <c r="D9" s="241" t="s">
        <v>1855</v>
      </c>
      <c r="E9" s="241" t="s">
        <v>1853</v>
      </c>
      <c r="F9" s="221" t="s">
        <v>1854</v>
      </c>
      <c r="G9" s="150">
        <v>110</v>
      </c>
      <c r="H9" s="150">
        <v>280</v>
      </c>
      <c r="I9" s="150">
        <f t="shared" si="1"/>
        <v>390</v>
      </c>
      <c r="J9" s="150">
        <v>0</v>
      </c>
      <c r="K9" s="50">
        <f t="shared" si="3"/>
        <v>390</v>
      </c>
      <c r="L9" s="240" t="s">
        <v>232</v>
      </c>
    </row>
    <row r="10" spans="1:12">
      <c r="A10" s="148"/>
      <c r="B10" s="227"/>
      <c r="C10" s="149"/>
      <c r="D10" s="228"/>
      <c r="E10" s="228"/>
      <c r="F10" s="219"/>
      <c r="G10" s="150"/>
      <c r="H10" s="150"/>
      <c r="I10" s="150">
        <f t="shared" ref="I10:I16" si="4">+G10+H10</f>
        <v>0</v>
      </c>
      <c r="J10" s="150">
        <v>0</v>
      </c>
      <c r="K10" s="50">
        <f t="shared" si="2"/>
        <v>0</v>
      </c>
      <c r="L10" s="227"/>
    </row>
    <row r="11" spans="1:12">
      <c r="A11" s="148"/>
      <c r="B11" s="227"/>
      <c r="C11" s="149"/>
      <c r="D11" s="228"/>
      <c r="E11" s="228"/>
      <c r="F11" s="220"/>
      <c r="G11" s="150"/>
      <c r="H11" s="150"/>
      <c r="I11" s="150">
        <f t="shared" si="4"/>
        <v>0</v>
      </c>
      <c r="J11" s="150"/>
      <c r="K11" s="50">
        <f t="shared" si="2"/>
        <v>0</v>
      </c>
      <c r="L11" s="227"/>
    </row>
    <row r="12" spans="1:12">
      <c r="A12" s="148"/>
      <c r="B12" s="229"/>
      <c r="C12" s="149"/>
      <c r="D12" s="230"/>
      <c r="E12" s="230"/>
      <c r="F12" s="223"/>
      <c r="G12" s="150"/>
      <c r="H12" s="150"/>
      <c r="I12" s="150">
        <f t="shared" si="4"/>
        <v>0</v>
      </c>
      <c r="J12" s="150"/>
      <c r="K12" s="50">
        <f t="shared" si="2"/>
        <v>0</v>
      </c>
      <c r="L12" s="229"/>
    </row>
    <row r="13" spans="1:12">
      <c r="A13" s="148"/>
      <c r="B13" s="231"/>
      <c r="C13" s="149"/>
      <c r="D13" s="232"/>
      <c r="E13" s="232"/>
      <c r="F13" s="224"/>
      <c r="G13" s="150"/>
      <c r="H13" s="150"/>
      <c r="I13" s="150">
        <f t="shared" si="4"/>
        <v>0</v>
      </c>
      <c r="J13" s="150"/>
      <c r="K13" s="50">
        <f t="shared" si="2"/>
        <v>0</v>
      </c>
      <c r="L13" s="231"/>
    </row>
    <row r="14" spans="1:12">
      <c r="A14" s="148"/>
      <c r="B14" s="231"/>
      <c r="C14" s="149"/>
      <c r="D14" s="233"/>
      <c r="E14" s="233"/>
      <c r="F14" s="220"/>
      <c r="G14" s="150"/>
      <c r="H14" s="150"/>
      <c r="I14" s="150">
        <f t="shared" si="4"/>
        <v>0</v>
      </c>
      <c r="J14" s="150"/>
      <c r="K14" s="50">
        <f t="shared" si="2"/>
        <v>0</v>
      </c>
      <c r="L14" s="234"/>
    </row>
    <row r="15" spans="1:12">
      <c r="A15" s="148"/>
      <c r="B15" s="231"/>
      <c r="C15" s="149"/>
      <c r="D15" s="235"/>
      <c r="E15" s="235"/>
      <c r="F15" s="220"/>
      <c r="G15" s="150"/>
      <c r="H15" s="150"/>
      <c r="I15" s="150">
        <f t="shared" si="4"/>
        <v>0</v>
      </c>
      <c r="J15" s="150"/>
      <c r="K15" s="50">
        <f t="shared" si="2"/>
        <v>0</v>
      </c>
      <c r="L15" s="236"/>
    </row>
    <row r="16" spans="1:12">
      <c r="A16" s="219"/>
      <c r="B16" s="218"/>
      <c r="C16" s="149"/>
      <c r="D16" s="217"/>
      <c r="E16" s="220"/>
      <c r="F16" s="220"/>
      <c r="G16" s="150"/>
      <c r="H16" s="150"/>
      <c r="I16" s="150">
        <f t="shared" si="4"/>
        <v>0</v>
      </c>
      <c r="J16" s="150"/>
      <c r="K16" s="50">
        <f t="shared" si="2"/>
        <v>0</v>
      </c>
    </row>
    <row r="18" spans="1:11" ht="15.75" thickBot="1">
      <c r="G18" s="216">
        <f>SUM(G2:G17)</f>
        <v>23856.27</v>
      </c>
      <c r="H18" s="216">
        <f>SUM(H2:H17)</f>
        <v>5361.4</v>
      </c>
      <c r="I18" s="213">
        <f>SUM(I2:I17)</f>
        <v>29217.670000000002</v>
      </c>
      <c r="J18" s="213">
        <f t="shared" ref="J18:K18" si="5">SUM(J2:J17)</f>
        <v>0</v>
      </c>
      <c r="K18" s="213">
        <f t="shared" si="5"/>
        <v>29217.670000000002</v>
      </c>
    </row>
    <row r="19" spans="1:11" ht="15.75" thickTop="1">
      <c r="G19" s="124"/>
      <c r="H19" s="124"/>
      <c r="I19" s="208"/>
      <c r="J19" s="208"/>
      <c r="K19" s="208"/>
    </row>
    <row r="20" spans="1:11">
      <c r="G20" s="124"/>
      <c r="H20" s="124"/>
      <c r="I20" s="208"/>
      <c r="J20" s="208"/>
      <c r="K20" s="208"/>
    </row>
    <row r="21" spans="1:11">
      <c r="G21" s="124"/>
      <c r="H21" s="124"/>
      <c r="I21" s="208"/>
      <c r="J21" s="208"/>
      <c r="K21" s="208"/>
    </row>
    <row r="22" spans="1:11">
      <c r="G22" s="124"/>
      <c r="H22" s="124"/>
      <c r="I22" s="208"/>
      <c r="J22" s="208"/>
      <c r="K22" s="208"/>
    </row>
    <row r="23" spans="1:11">
      <c r="A23" t="s">
        <v>893</v>
      </c>
      <c r="C23" s="105"/>
      <c r="G23" s="50"/>
      <c r="H23" s="50"/>
      <c r="I23" s="50"/>
      <c r="J23" s="50"/>
      <c r="K23" s="50"/>
    </row>
    <row r="24" spans="1:11">
      <c r="A24" t="s">
        <v>229</v>
      </c>
      <c r="B24" s="146" t="s">
        <v>856</v>
      </c>
      <c r="C24" s="105" t="s">
        <v>228</v>
      </c>
      <c r="D24" s="105" t="s">
        <v>227</v>
      </c>
      <c r="E24" t="s">
        <v>894</v>
      </c>
      <c r="F24" t="s">
        <v>29</v>
      </c>
      <c r="G24" t="s">
        <v>1582</v>
      </c>
      <c r="H24" t="s">
        <v>895</v>
      </c>
      <c r="I24" s="50" t="s">
        <v>725</v>
      </c>
      <c r="J24" s="50"/>
      <c r="K24" s="50"/>
    </row>
    <row r="25" spans="1:11">
      <c r="A25" s="242" t="s">
        <v>1856</v>
      </c>
      <c r="B25" s="243" t="s">
        <v>1813</v>
      </c>
      <c r="C25" s="149">
        <v>46295</v>
      </c>
      <c r="D25" s="148" t="s">
        <v>235</v>
      </c>
      <c r="E25" s="245" t="s">
        <v>1857</v>
      </c>
      <c r="F25" s="206">
        <v>337.44</v>
      </c>
      <c r="G25" s="50">
        <v>0</v>
      </c>
      <c r="H25" s="50">
        <f>+F25+G25</f>
        <v>337.44</v>
      </c>
      <c r="I25" s="244" t="s">
        <v>231</v>
      </c>
    </row>
    <row r="26" spans="1:11">
      <c r="A26" s="221"/>
      <c r="C26" s="149"/>
      <c r="D26" s="148"/>
      <c r="G26" s="50">
        <v>0</v>
      </c>
      <c r="H26" s="50">
        <f>+F26+G26</f>
        <v>0</v>
      </c>
      <c r="I26" s="222"/>
    </row>
    <row r="27" spans="1:11" ht="15.75" thickBot="1">
      <c r="H27" s="213">
        <f>SUM(H25:H26)</f>
        <v>337.44</v>
      </c>
    </row>
    <row r="28" spans="1:11" ht="15.75" thickTop="1"/>
  </sheetData>
  <phoneticPr fontId="4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C0318-FAF7-4A92-89A1-8E6181B1E02D}">
  <dimension ref="A1:M36"/>
  <sheetViews>
    <sheetView workbookViewId="0">
      <selection activeCell="I35" sqref="I35"/>
    </sheetView>
  </sheetViews>
  <sheetFormatPr defaultRowHeight="15"/>
  <cols>
    <col min="1" max="1" width="12.85546875" bestFit="1" customWidth="1"/>
    <col min="2" max="2" width="12.85546875" customWidth="1"/>
    <col min="3" max="3" width="10.7109375" bestFit="1" customWidth="1"/>
    <col min="4" max="4" width="29.85546875" bestFit="1" customWidth="1"/>
    <col min="6" max="6" width="14.7109375" bestFit="1" customWidth="1"/>
    <col min="7" max="11" width="9.140625" style="50"/>
  </cols>
  <sheetData>
    <row r="1" spans="1:13">
      <c r="A1" s="148" t="s">
        <v>229</v>
      </c>
      <c r="B1" s="151" t="s">
        <v>856</v>
      </c>
      <c r="C1" s="149" t="s">
        <v>228</v>
      </c>
      <c r="D1" s="148" t="s">
        <v>227</v>
      </c>
      <c r="E1" s="148" t="s">
        <v>226</v>
      </c>
      <c r="F1" s="148" t="s">
        <v>225</v>
      </c>
      <c r="G1" s="150" t="s">
        <v>224</v>
      </c>
      <c r="H1" s="150" t="s">
        <v>223</v>
      </c>
      <c r="I1" s="150" t="s">
        <v>222</v>
      </c>
      <c r="J1" s="150" t="s">
        <v>741</v>
      </c>
      <c r="K1" s="50" t="s">
        <v>1538</v>
      </c>
      <c r="L1" s="150" t="s">
        <v>29</v>
      </c>
      <c r="M1" s="146"/>
    </row>
    <row r="2" spans="1:13">
      <c r="A2" s="148" t="s">
        <v>1157</v>
      </c>
      <c r="B2" s="151" t="s">
        <v>728</v>
      </c>
      <c r="C2" s="149">
        <v>45659</v>
      </c>
      <c r="D2" s="148" t="s">
        <v>779</v>
      </c>
      <c r="E2" s="148" t="s">
        <v>780</v>
      </c>
      <c r="F2" s="148" t="s">
        <v>1158</v>
      </c>
      <c r="G2" s="150"/>
      <c r="H2" s="150"/>
      <c r="I2" s="150">
        <v>0</v>
      </c>
      <c r="J2" s="150">
        <v>0</v>
      </c>
      <c r="K2" s="50">
        <v>0</v>
      </c>
      <c r="L2" s="150">
        <v>0</v>
      </c>
    </row>
    <row r="3" spans="1:13">
      <c r="A3" s="148" t="s">
        <v>1159</v>
      </c>
      <c r="B3" s="151" t="s">
        <v>728</v>
      </c>
      <c r="C3" s="149">
        <v>45667</v>
      </c>
      <c r="D3" s="148" t="s">
        <v>752</v>
      </c>
      <c r="E3" s="148" t="s">
        <v>753</v>
      </c>
      <c r="F3" s="148" t="s">
        <v>1160</v>
      </c>
      <c r="G3" s="150">
        <v>340.26</v>
      </c>
      <c r="H3" s="150">
        <v>126</v>
      </c>
      <c r="I3" s="150">
        <v>466.3</v>
      </c>
      <c r="J3" s="150">
        <v>0.04</v>
      </c>
      <c r="K3" s="50">
        <v>0</v>
      </c>
      <c r="L3" s="150">
        <v>466.3</v>
      </c>
      <c r="M3" s="146" t="s">
        <v>26</v>
      </c>
    </row>
    <row r="4" spans="1:13">
      <c r="A4" s="148" t="s">
        <v>1161</v>
      </c>
      <c r="B4" s="151" t="s">
        <v>728</v>
      </c>
      <c r="C4" s="149">
        <v>45682</v>
      </c>
      <c r="D4" s="148" t="s">
        <v>803</v>
      </c>
      <c r="E4" s="148" t="s">
        <v>804</v>
      </c>
      <c r="F4" s="148" t="s">
        <v>1162</v>
      </c>
      <c r="G4" s="150"/>
      <c r="H4" s="150"/>
      <c r="I4" s="150">
        <v>0</v>
      </c>
      <c r="J4" s="150">
        <v>0</v>
      </c>
      <c r="K4" s="50">
        <v>0</v>
      </c>
      <c r="L4" s="150">
        <v>0</v>
      </c>
    </row>
    <row r="5" spans="1:13">
      <c r="A5" s="148" t="s">
        <v>1163</v>
      </c>
      <c r="B5" s="151" t="s">
        <v>728</v>
      </c>
      <c r="C5" s="149">
        <v>45685</v>
      </c>
      <c r="D5" s="148" t="s">
        <v>803</v>
      </c>
      <c r="E5" s="148" t="s">
        <v>804</v>
      </c>
      <c r="F5" s="148" t="s">
        <v>1164</v>
      </c>
      <c r="G5" s="150">
        <v>83.2</v>
      </c>
      <c r="H5" s="150"/>
      <c r="I5" s="150">
        <v>83.2</v>
      </c>
      <c r="J5" s="150">
        <v>0</v>
      </c>
      <c r="K5" s="50">
        <v>0</v>
      </c>
      <c r="L5" s="150">
        <v>83.2</v>
      </c>
      <c r="M5" s="146" t="s">
        <v>26</v>
      </c>
    </row>
    <row r="6" spans="1:13">
      <c r="A6" s="148" t="s">
        <v>1165</v>
      </c>
      <c r="B6" s="151" t="s">
        <v>729</v>
      </c>
      <c r="C6" s="149">
        <v>45702</v>
      </c>
      <c r="D6" s="148" t="s">
        <v>807</v>
      </c>
      <c r="E6" s="148" t="s">
        <v>808</v>
      </c>
      <c r="F6" s="148" t="s">
        <v>1166</v>
      </c>
      <c r="G6" s="150"/>
      <c r="H6" s="150"/>
      <c r="I6" s="150">
        <v>0</v>
      </c>
      <c r="J6" s="150">
        <v>0</v>
      </c>
      <c r="K6" s="50">
        <v>0</v>
      </c>
      <c r="L6" s="150">
        <v>0</v>
      </c>
    </row>
    <row r="7" spans="1:13">
      <c r="A7" s="148" t="s">
        <v>1167</v>
      </c>
      <c r="B7" s="151" t="s">
        <v>729</v>
      </c>
      <c r="C7" s="149">
        <v>45709</v>
      </c>
      <c r="D7" s="148" t="s">
        <v>775</v>
      </c>
      <c r="E7" s="148" t="s">
        <v>776</v>
      </c>
      <c r="F7" s="148" t="s">
        <v>1168</v>
      </c>
      <c r="G7" s="150"/>
      <c r="H7" s="150"/>
      <c r="I7" s="150">
        <v>0</v>
      </c>
      <c r="J7" s="150">
        <v>0</v>
      </c>
      <c r="K7" s="50">
        <v>0</v>
      </c>
      <c r="L7" s="150">
        <v>0</v>
      </c>
    </row>
    <row r="8" spans="1:13">
      <c r="A8" s="148" t="s">
        <v>1169</v>
      </c>
      <c r="B8" s="151" t="s">
        <v>729</v>
      </c>
      <c r="C8" s="149">
        <v>45710</v>
      </c>
      <c r="D8" s="148" t="s">
        <v>752</v>
      </c>
      <c r="E8" s="148" t="s">
        <v>753</v>
      </c>
      <c r="F8" s="148" t="s">
        <v>1170</v>
      </c>
      <c r="G8" s="150"/>
      <c r="H8" s="150"/>
      <c r="I8" s="150">
        <v>0</v>
      </c>
      <c r="J8" s="150">
        <v>0</v>
      </c>
      <c r="K8" s="50">
        <v>0</v>
      </c>
      <c r="L8" s="150">
        <v>0</v>
      </c>
    </row>
    <row r="9" spans="1:13">
      <c r="A9" s="148" t="s">
        <v>1171</v>
      </c>
      <c r="B9" s="151" t="s">
        <v>738</v>
      </c>
      <c r="C9" s="149">
        <v>45717</v>
      </c>
      <c r="D9" s="148" t="s">
        <v>759</v>
      </c>
      <c r="E9" s="148" t="s">
        <v>760</v>
      </c>
      <c r="F9" s="148" t="s">
        <v>1172</v>
      </c>
      <c r="G9" s="150">
        <v>258.31</v>
      </c>
      <c r="H9" s="150">
        <v>222</v>
      </c>
      <c r="I9" s="150">
        <v>480.3</v>
      </c>
      <c r="J9" s="150">
        <v>-0.01</v>
      </c>
      <c r="K9" s="50">
        <v>0</v>
      </c>
      <c r="L9" s="150">
        <v>480.3</v>
      </c>
      <c r="M9" s="146" t="s">
        <v>26</v>
      </c>
    </row>
    <row r="10" spans="1:13">
      <c r="A10" s="148" t="s">
        <v>1173</v>
      </c>
      <c r="B10" s="151" t="s">
        <v>738</v>
      </c>
      <c r="C10" s="149">
        <v>45721</v>
      </c>
      <c r="D10" s="148" t="s">
        <v>748</v>
      </c>
      <c r="E10" s="148" t="s">
        <v>756</v>
      </c>
      <c r="F10" s="148" t="s">
        <v>1174</v>
      </c>
      <c r="G10" s="150">
        <v>415.02</v>
      </c>
      <c r="H10" s="150">
        <v>204</v>
      </c>
      <c r="I10" s="150">
        <v>619</v>
      </c>
      <c r="J10" s="150">
        <v>-0.02</v>
      </c>
      <c r="K10" s="50">
        <v>0</v>
      </c>
      <c r="L10" s="150">
        <v>619</v>
      </c>
      <c r="M10" s="146" t="s">
        <v>26</v>
      </c>
    </row>
    <row r="11" spans="1:13">
      <c r="A11" s="148" t="s">
        <v>1175</v>
      </c>
      <c r="B11" s="151" t="s">
        <v>738</v>
      </c>
      <c r="C11" s="149">
        <v>45738</v>
      </c>
      <c r="D11" s="148" t="s">
        <v>752</v>
      </c>
      <c r="E11" s="148" t="s">
        <v>753</v>
      </c>
      <c r="F11" s="148" t="s">
        <v>1176</v>
      </c>
      <c r="G11" s="150">
        <v>236.81</v>
      </c>
      <c r="H11" s="150">
        <v>66</v>
      </c>
      <c r="I11" s="150">
        <v>302.8</v>
      </c>
      <c r="J11" s="150">
        <v>-0.01</v>
      </c>
      <c r="K11" s="50">
        <v>0</v>
      </c>
      <c r="L11" s="150">
        <v>302.8</v>
      </c>
      <c r="M11" s="146" t="s">
        <v>26</v>
      </c>
    </row>
    <row r="12" spans="1:13">
      <c r="A12" s="148" t="s">
        <v>1177</v>
      </c>
      <c r="B12" s="151" t="s">
        <v>738</v>
      </c>
      <c r="C12" s="149">
        <v>45743</v>
      </c>
      <c r="D12" s="148" t="s">
        <v>799</v>
      </c>
      <c r="E12" s="148" t="s">
        <v>800</v>
      </c>
      <c r="F12" s="148" t="s">
        <v>1178</v>
      </c>
      <c r="G12" s="150"/>
      <c r="H12" s="150"/>
      <c r="I12" s="150">
        <v>0</v>
      </c>
      <c r="J12" s="150">
        <v>0</v>
      </c>
      <c r="K12" s="50">
        <v>0</v>
      </c>
      <c r="L12" s="150">
        <v>0</v>
      </c>
    </row>
    <row r="13" spans="1:13">
      <c r="A13" s="148" t="s">
        <v>1179</v>
      </c>
      <c r="B13" s="151" t="s">
        <v>738</v>
      </c>
      <c r="C13" s="149">
        <v>45743</v>
      </c>
      <c r="D13" s="148" t="s">
        <v>799</v>
      </c>
      <c r="E13" s="148" t="s">
        <v>800</v>
      </c>
      <c r="F13" s="148" t="s">
        <v>1180</v>
      </c>
      <c r="G13" s="150"/>
      <c r="H13" s="150"/>
      <c r="I13" s="150">
        <v>0</v>
      </c>
      <c r="J13" s="150">
        <v>0</v>
      </c>
      <c r="K13" s="50">
        <v>0</v>
      </c>
      <c r="L13" s="150">
        <v>0</v>
      </c>
    </row>
    <row r="14" spans="1:13">
      <c r="A14" t="s">
        <v>1234</v>
      </c>
      <c r="B14" s="157" t="s">
        <v>730</v>
      </c>
      <c r="C14" s="158">
        <v>45769</v>
      </c>
      <c r="D14" t="s">
        <v>752</v>
      </c>
      <c r="E14" t="s">
        <v>753</v>
      </c>
      <c r="F14" t="s">
        <v>1235</v>
      </c>
      <c r="G14" s="150">
        <v>0</v>
      </c>
      <c r="H14" s="150">
        <v>0</v>
      </c>
      <c r="I14" s="150">
        <v>0</v>
      </c>
      <c r="J14" s="150">
        <v>0</v>
      </c>
      <c r="K14" s="50">
        <v>0</v>
      </c>
      <c r="L14" s="150">
        <v>0</v>
      </c>
      <c r="M14" s="150"/>
    </row>
    <row r="15" spans="1:13">
      <c r="A15" t="s">
        <v>1236</v>
      </c>
      <c r="B15" s="157" t="s">
        <v>730</v>
      </c>
      <c r="C15" s="158">
        <v>45776</v>
      </c>
      <c r="D15" t="s">
        <v>779</v>
      </c>
      <c r="E15" t="s">
        <v>780</v>
      </c>
      <c r="F15" t="s">
        <v>1237</v>
      </c>
      <c r="G15" s="150">
        <v>0</v>
      </c>
      <c r="H15" s="150">
        <v>0</v>
      </c>
      <c r="I15" s="150">
        <v>0</v>
      </c>
      <c r="J15" s="150">
        <v>0</v>
      </c>
      <c r="K15" s="50">
        <v>0</v>
      </c>
      <c r="L15" s="150">
        <v>0</v>
      </c>
      <c r="M15" s="150"/>
    </row>
    <row r="16" spans="1:13" s="148" customFormat="1">
      <c r="A16" s="148" t="s">
        <v>1292</v>
      </c>
      <c r="B16" s="148" t="s">
        <v>731</v>
      </c>
      <c r="C16" s="149">
        <v>45794</v>
      </c>
      <c r="D16" s="148" t="s">
        <v>803</v>
      </c>
      <c r="E16" s="148" t="s">
        <v>804</v>
      </c>
      <c r="F16" s="148" t="s">
        <v>1293</v>
      </c>
      <c r="G16" s="150"/>
      <c r="H16" s="150"/>
      <c r="I16" s="150">
        <v>0</v>
      </c>
      <c r="J16" s="150"/>
      <c r="K16" s="50">
        <v>0</v>
      </c>
    </row>
    <row r="17" spans="1:13" s="148" customFormat="1">
      <c r="A17" s="148" t="s">
        <v>1294</v>
      </c>
      <c r="B17" s="148" t="s">
        <v>731</v>
      </c>
      <c r="C17" s="149">
        <v>45797</v>
      </c>
      <c r="D17" s="148" t="s">
        <v>752</v>
      </c>
      <c r="E17" s="148" t="s">
        <v>753</v>
      </c>
      <c r="F17" s="148" t="s">
        <v>1295</v>
      </c>
      <c r="G17" s="150">
        <v>225.81</v>
      </c>
      <c r="H17" s="150">
        <v>66</v>
      </c>
      <c r="I17" s="150">
        <v>291.8</v>
      </c>
      <c r="J17" s="150">
        <v>-0.01</v>
      </c>
      <c r="K17" s="50">
        <v>0</v>
      </c>
      <c r="L17" s="148">
        <v>291.8</v>
      </c>
      <c r="M17" s="148" t="s">
        <v>26</v>
      </c>
    </row>
    <row r="18" spans="1:13">
      <c r="A18" s="148" t="s">
        <v>1399</v>
      </c>
      <c r="B18" s="148" t="s">
        <v>732</v>
      </c>
      <c r="C18" s="149">
        <v>45818</v>
      </c>
      <c r="D18" s="148" t="s">
        <v>807</v>
      </c>
      <c r="E18" s="148" t="s">
        <v>808</v>
      </c>
      <c r="F18" s="148" t="s">
        <v>1400</v>
      </c>
      <c r="G18" s="148"/>
      <c r="H18" s="150"/>
      <c r="I18" s="150">
        <v>0</v>
      </c>
      <c r="J18" s="50">
        <v>0</v>
      </c>
      <c r="K18" s="50">
        <v>0</v>
      </c>
      <c r="L18" s="148">
        <v>0</v>
      </c>
      <c r="M18" s="148" t="s">
        <v>26</v>
      </c>
    </row>
    <row r="19" spans="1:13">
      <c r="A19" s="148" t="s">
        <v>1401</v>
      </c>
      <c r="B19" s="148" t="s">
        <v>732</v>
      </c>
      <c r="C19" s="149">
        <v>45822</v>
      </c>
      <c r="D19" s="148" t="s">
        <v>759</v>
      </c>
      <c r="E19" s="148" t="s">
        <v>760</v>
      </c>
      <c r="F19" s="148" t="s">
        <v>1402</v>
      </c>
      <c r="G19" s="148">
        <v>416.55</v>
      </c>
      <c r="H19" s="150">
        <v>186</v>
      </c>
      <c r="I19" s="150">
        <v>602.54999999999995</v>
      </c>
      <c r="J19" s="50">
        <v>0</v>
      </c>
      <c r="K19" s="50">
        <v>0</v>
      </c>
      <c r="L19" s="148">
        <v>602.54999999999995</v>
      </c>
      <c r="M19" s="148" t="s">
        <v>26</v>
      </c>
    </row>
    <row r="20" spans="1:13">
      <c r="A20" s="148" t="s">
        <v>1403</v>
      </c>
      <c r="B20" s="148" t="s">
        <v>732</v>
      </c>
      <c r="C20" s="149">
        <v>45828</v>
      </c>
      <c r="D20" s="148" t="s">
        <v>775</v>
      </c>
      <c r="E20" s="148" t="s">
        <v>776</v>
      </c>
      <c r="F20" s="148" t="s">
        <v>1404</v>
      </c>
      <c r="G20" s="148">
        <v>563.08000000000004</v>
      </c>
      <c r="H20" s="150">
        <v>204</v>
      </c>
      <c r="I20" s="150">
        <v>767.08</v>
      </c>
      <c r="J20" s="50">
        <v>0</v>
      </c>
      <c r="K20" s="50">
        <v>0</v>
      </c>
      <c r="L20" s="148">
        <v>767.08</v>
      </c>
      <c r="M20" s="148" t="s">
        <v>26</v>
      </c>
    </row>
    <row r="21" spans="1:13">
      <c r="A21" s="148" t="s">
        <v>1438</v>
      </c>
      <c r="B21" s="148" t="s">
        <v>13</v>
      </c>
      <c r="C21" s="149">
        <v>45847</v>
      </c>
      <c r="D21" s="148" t="s">
        <v>1439</v>
      </c>
      <c r="E21" s="148" t="s">
        <v>1440</v>
      </c>
      <c r="F21" s="148" t="s">
        <v>1441</v>
      </c>
      <c r="G21" s="148">
        <v>329.01</v>
      </c>
      <c r="H21" s="150">
        <v>900</v>
      </c>
      <c r="I21" s="150">
        <v>1229.01</v>
      </c>
      <c r="J21" s="150">
        <v>0</v>
      </c>
      <c r="K21" s="50">
        <v>0</v>
      </c>
      <c r="L21" s="148">
        <v>1229.01</v>
      </c>
      <c r="M21" s="148" t="s">
        <v>26</v>
      </c>
    </row>
    <row r="22" spans="1:13">
      <c r="A22" s="148" t="s">
        <v>1442</v>
      </c>
      <c r="B22" s="148" t="s">
        <v>13</v>
      </c>
      <c r="C22" s="149">
        <v>45849</v>
      </c>
      <c r="D22" s="148" t="s">
        <v>789</v>
      </c>
      <c r="E22" s="148" t="s">
        <v>790</v>
      </c>
      <c r="F22" s="148" t="s">
        <v>1443</v>
      </c>
      <c r="G22" s="148">
        <v>315.81</v>
      </c>
      <c r="H22" s="150">
        <v>468</v>
      </c>
      <c r="I22" s="150">
        <v>783.8</v>
      </c>
      <c r="J22" s="150">
        <v>-0.01</v>
      </c>
      <c r="K22" s="50">
        <v>0</v>
      </c>
      <c r="L22" s="148">
        <v>783.8</v>
      </c>
      <c r="M22" s="148" t="s">
        <v>26</v>
      </c>
    </row>
    <row r="23" spans="1:13">
      <c r="A23" s="148" t="s">
        <v>1444</v>
      </c>
      <c r="B23" s="148" t="s">
        <v>13</v>
      </c>
      <c r="C23" s="149">
        <v>45861</v>
      </c>
      <c r="D23" s="148" t="s">
        <v>752</v>
      </c>
      <c r="E23" s="148" t="s">
        <v>753</v>
      </c>
      <c r="F23" s="148" t="s">
        <v>1445</v>
      </c>
      <c r="G23" s="148">
        <v>353.16</v>
      </c>
      <c r="H23" s="150">
        <v>102</v>
      </c>
      <c r="I23" s="150">
        <v>455.15</v>
      </c>
      <c r="J23" s="150">
        <v>-0.01</v>
      </c>
      <c r="K23" s="50">
        <v>0</v>
      </c>
      <c r="L23" s="148">
        <v>455.15</v>
      </c>
      <c r="M23" s="148" t="s">
        <v>26</v>
      </c>
    </row>
    <row r="24" spans="1:13" s="148" customFormat="1">
      <c r="A24" s="148" t="s">
        <v>1559</v>
      </c>
      <c r="B24" s="148" t="s">
        <v>733</v>
      </c>
      <c r="C24" s="149">
        <v>45896</v>
      </c>
      <c r="D24" s="148" t="s">
        <v>803</v>
      </c>
      <c r="E24" s="148" t="s">
        <v>804</v>
      </c>
      <c r="F24" s="148" t="s">
        <v>1560</v>
      </c>
      <c r="G24" s="150">
        <v>552.27</v>
      </c>
      <c r="H24" s="150">
        <v>222</v>
      </c>
      <c r="I24" s="150">
        <v>774.27</v>
      </c>
      <c r="J24" s="50">
        <v>0</v>
      </c>
      <c r="K24" s="150">
        <v>17.760000000000002</v>
      </c>
      <c r="L24" s="148">
        <v>792.03</v>
      </c>
      <c r="M24" s="148" t="s">
        <v>26</v>
      </c>
    </row>
    <row r="25" spans="1:13">
      <c r="A25" s="148" t="s">
        <v>1618</v>
      </c>
      <c r="B25" s="148" t="s">
        <v>734</v>
      </c>
      <c r="C25" s="149">
        <v>45920</v>
      </c>
      <c r="D25" s="148" t="s">
        <v>752</v>
      </c>
      <c r="E25" s="148" t="s">
        <v>753</v>
      </c>
      <c r="F25" s="148" t="s">
        <v>1617</v>
      </c>
      <c r="G25" s="150">
        <v>230.81</v>
      </c>
      <c r="H25" s="150">
        <v>66</v>
      </c>
      <c r="I25" s="150">
        <v>296.82</v>
      </c>
      <c r="J25" s="150">
        <v>5.28</v>
      </c>
      <c r="K25" s="150">
        <v>0.01</v>
      </c>
      <c r="L25" s="150">
        <v>302.10000000000002</v>
      </c>
      <c r="M25" s="148" t="s">
        <v>26</v>
      </c>
    </row>
    <row r="26" spans="1:13">
      <c r="A26" s="148" t="s">
        <v>1683</v>
      </c>
      <c r="B26" s="148" t="s">
        <v>735</v>
      </c>
      <c r="C26" s="149">
        <v>45931</v>
      </c>
      <c r="D26" s="148" t="s">
        <v>51</v>
      </c>
      <c r="E26" s="148" t="s">
        <v>1684</v>
      </c>
      <c r="F26" s="148" t="s">
        <v>1685</v>
      </c>
      <c r="G26" s="148"/>
      <c r="H26" s="148">
        <v>70</v>
      </c>
      <c r="I26" s="148">
        <v>70</v>
      </c>
      <c r="J26" s="50">
        <v>0</v>
      </c>
      <c r="K26" s="148">
        <v>5.6</v>
      </c>
      <c r="L26" s="148">
        <v>75.599999999999994</v>
      </c>
      <c r="M26" s="148" t="s">
        <v>26</v>
      </c>
    </row>
    <row r="27" spans="1:13">
      <c r="A27" s="148" t="s">
        <v>1686</v>
      </c>
      <c r="B27" s="148" t="s">
        <v>735</v>
      </c>
      <c r="C27" s="149">
        <v>45931</v>
      </c>
      <c r="D27" s="148" t="s">
        <v>752</v>
      </c>
      <c r="E27" s="148" t="s">
        <v>753</v>
      </c>
      <c r="F27" s="148" t="s">
        <v>1687</v>
      </c>
      <c r="G27" s="148"/>
      <c r="H27" s="148"/>
      <c r="I27" s="148">
        <v>0</v>
      </c>
      <c r="J27" s="50">
        <v>0</v>
      </c>
      <c r="K27" s="148">
        <v>0</v>
      </c>
      <c r="L27" s="148">
        <v>0</v>
      </c>
      <c r="M27" s="148" t="s">
        <v>26</v>
      </c>
    </row>
    <row r="28" spans="1:13">
      <c r="A28" s="148" t="s">
        <v>1688</v>
      </c>
      <c r="B28" s="148" t="s">
        <v>735</v>
      </c>
      <c r="C28" s="149">
        <v>45944</v>
      </c>
      <c r="D28" s="148" t="s">
        <v>775</v>
      </c>
      <c r="E28" s="148" t="s">
        <v>776</v>
      </c>
      <c r="F28" s="148" t="s">
        <v>1689</v>
      </c>
      <c r="G28" s="148">
        <v>376.77</v>
      </c>
      <c r="H28" s="148">
        <v>120</v>
      </c>
      <c r="I28" s="148">
        <v>496.77</v>
      </c>
      <c r="J28" s="50">
        <v>0</v>
      </c>
      <c r="K28" s="148">
        <v>9.6</v>
      </c>
      <c r="L28" s="148">
        <v>506.37</v>
      </c>
      <c r="M28" s="148" t="s">
        <v>26</v>
      </c>
    </row>
    <row r="29" spans="1:13">
      <c r="A29" s="148" t="s">
        <v>1745</v>
      </c>
      <c r="B29" s="148" t="s">
        <v>736</v>
      </c>
      <c r="C29" s="149">
        <v>45976</v>
      </c>
      <c r="D29" s="148" t="s">
        <v>807</v>
      </c>
      <c r="E29" s="148" t="s">
        <v>808</v>
      </c>
      <c r="F29" s="148" t="s">
        <v>1746</v>
      </c>
      <c r="G29" s="148"/>
      <c r="H29" s="148"/>
      <c r="I29" s="148">
        <v>0</v>
      </c>
      <c r="J29" s="50">
        <v>0</v>
      </c>
      <c r="K29" s="148">
        <v>0</v>
      </c>
      <c r="L29" s="148">
        <v>0</v>
      </c>
    </row>
    <row r="30" spans="1:13">
      <c r="A30" s="148" t="s">
        <v>1747</v>
      </c>
      <c r="B30" s="148" t="s">
        <v>736</v>
      </c>
      <c r="C30" s="149">
        <v>45980</v>
      </c>
      <c r="D30" s="148" t="s">
        <v>759</v>
      </c>
      <c r="E30" s="148" t="s">
        <v>760</v>
      </c>
      <c r="F30" s="148" t="s">
        <v>1748</v>
      </c>
      <c r="G30" s="148">
        <v>240.77</v>
      </c>
      <c r="H30" s="148">
        <v>90</v>
      </c>
      <c r="I30" s="148">
        <v>330.77</v>
      </c>
      <c r="J30" s="50">
        <v>0</v>
      </c>
      <c r="K30" s="148">
        <v>7.2</v>
      </c>
      <c r="L30" s="148">
        <v>337.97</v>
      </c>
      <c r="M30" s="148" t="s">
        <v>26</v>
      </c>
    </row>
    <row r="31" spans="1:13">
      <c r="A31" s="148" t="s">
        <v>1749</v>
      </c>
      <c r="B31" s="148" t="s">
        <v>736</v>
      </c>
      <c r="C31" s="149">
        <v>45981</v>
      </c>
      <c r="D31" s="148" t="s">
        <v>752</v>
      </c>
      <c r="E31" s="148" t="s">
        <v>753</v>
      </c>
      <c r="F31" s="148" t="s">
        <v>1750</v>
      </c>
      <c r="G31" s="148">
        <v>230.81</v>
      </c>
      <c r="H31" s="148">
        <v>66</v>
      </c>
      <c r="I31" s="148">
        <v>296.81</v>
      </c>
      <c r="J31" s="50">
        <v>0</v>
      </c>
      <c r="K31" s="148">
        <v>5.28</v>
      </c>
      <c r="L31" s="148">
        <v>302.08999999999997</v>
      </c>
      <c r="M31" s="148" t="s">
        <v>26</v>
      </c>
    </row>
    <row r="32" spans="1:13">
      <c r="L32" s="148"/>
    </row>
    <row r="35" spans="9:9" ht="15.75" thickBot="1">
      <c r="I35" s="129">
        <f>SUM(I2:I31)</f>
        <v>8346.43</v>
      </c>
    </row>
    <row r="36" spans="9:9" ht="15.75" thickTop="1"/>
  </sheetData>
  <autoFilter ref="A1:M31" xr:uid="{9ADC0318-FAF7-4A92-89A1-8E6181B1E02D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B840-67E9-451B-8DAD-826770A462F2}">
  <dimension ref="A1:M24"/>
  <sheetViews>
    <sheetView workbookViewId="0">
      <selection activeCell="H35" sqref="H35"/>
    </sheetView>
  </sheetViews>
  <sheetFormatPr defaultRowHeight="15"/>
  <cols>
    <col min="1" max="1" width="12.85546875" bestFit="1" customWidth="1"/>
    <col min="2" max="2" width="12.85546875" customWidth="1"/>
    <col min="3" max="3" width="10.7109375" bestFit="1" customWidth="1"/>
    <col min="4" max="4" width="29.85546875" bestFit="1" customWidth="1"/>
    <col min="6" max="6" width="14.7109375" bestFit="1" customWidth="1"/>
  </cols>
  <sheetData>
    <row r="1" spans="1:13">
      <c r="A1" s="148" t="s">
        <v>229</v>
      </c>
      <c r="B1" s="151" t="s">
        <v>856</v>
      </c>
      <c r="C1" s="149" t="s">
        <v>228</v>
      </c>
      <c r="D1" s="148" t="s">
        <v>227</v>
      </c>
      <c r="E1" s="148" t="s">
        <v>226</v>
      </c>
      <c r="F1" s="148" t="s">
        <v>225</v>
      </c>
      <c r="G1" s="150" t="s">
        <v>224</v>
      </c>
      <c r="H1" s="150" t="s">
        <v>223</v>
      </c>
      <c r="I1" s="150" t="s">
        <v>222</v>
      </c>
      <c r="J1" s="150" t="s">
        <v>741</v>
      </c>
      <c r="K1" s="50" t="s">
        <v>1538</v>
      </c>
      <c r="L1" s="150" t="s">
        <v>29</v>
      </c>
      <c r="M1" s="212" t="s">
        <v>725</v>
      </c>
    </row>
    <row r="23" spans="9:9" ht="15.75" thickBot="1">
      <c r="I23" s="129">
        <f>SUM(I2:I21)</f>
        <v>0</v>
      </c>
    </row>
    <row r="24" spans="9:9" ht="15.75" thickTop="1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4EE3-9EA2-4A72-A04E-2C551B6BCE35}">
  <dimension ref="A1:J38"/>
  <sheetViews>
    <sheetView topLeftCell="A7" workbookViewId="0">
      <selection activeCell="J37" sqref="J37"/>
    </sheetView>
  </sheetViews>
  <sheetFormatPr defaultRowHeight="15"/>
  <cols>
    <col min="1" max="1" width="12.5703125" style="149" bestFit="1" customWidth="1"/>
    <col min="2" max="2" width="12.5703125" style="149" customWidth="1"/>
    <col min="3" max="3" width="15" style="148" bestFit="1" customWidth="1"/>
    <col min="4" max="4" width="40.28515625" style="148" bestFit="1" customWidth="1"/>
    <col min="5" max="5" width="13.5703125" style="148" bestFit="1" customWidth="1"/>
    <col min="6" max="6" width="9.140625" style="148"/>
    <col min="7" max="10" width="9.28515625" style="150" bestFit="1" customWidth="1"/>
    <col min="11" max="257" width="9.140625" style="148"/>
    <col min="258" max="258" width="12.5703125" style="148" bestFit="1" customWidth="1"/>
    <col min="259" max="259" width="15" style="148" bestFit="1" customWidth="1"/>
    <col min="260" max="260" width="40.28515625" style="148" bestFit="1" customWidth="1"/>
    <col min="261" max="261" width="13.5703125" style="148" bestFit="1" customWidth="1"/>
    <col min="262" max="262" width="9.140625" style="148"/>
    <col min="263" max="266" width="9.28515625" style="148" bestFit="1" customWidth="1"/>
    <col min="267" max="513" width="9.140625" style="148"/>
    <col min="514" max="514" width="12.5703125" style="148" bestFit="1" customWidth="1"/>
    <col min="515" max="515" width="15" style="148" bestFit="1" customWidth="1"/>
    <col min="516" max="516" width="40.28515625" style="148" bestFit="1" customWidth="1"/>
    <col min="517" max="517" width="13.5703125" style="148" bestFit="1" customWidth="1"/>
    <col min="518" max="518" width="9.140625" style="148"/>
    <col min="519" max="522" width="9.28515625" style="148" bestFit="1" customWidth="1"/>
    <col min="523" max="769" width="9.140625" style="148"/>
    <col min="770" max="770" width="12.5703125" style="148" bestFit="1" customWidth="1"/>
    <col min="771" max="771" width="15" style="148" bestFit="1" customWidth="1"/>
    <col min="772" max="772" width="40.28515625" style="148" bestFit="1" customWidth="1"/>
    <col min="773" max="773" width="13.5703125" style="148" bestFit="1" customWidth="1"/>
    <col min="774" max="774" width="9.140625" style="148"/>
    <col min="775" max="778" width="9.28515625" style="148" bestFit="1" customWidth="1"/>
    <col min="779" max="1025" width="9.140625" style="148"/>
    <col min="1026" max="1026" width="12.5703125" style="148" bestFit="1" customWidth="1"/>
    <col min="1027" max="1027" width="15" style="148" bestFit="1" customWidth="1"/>
    <col min="1028" max="1028" width="40.28515625" style="148" bestFit="1" customWidth="1"/>
    <col min="1029" max="1029" width="13.5703125" style="148" bestFit="1" customWidth="1"/>
    <col min="1030" max="1030" width="9.140625" style="148"/>
    <col min="1031" max="1034" width="9.28515625" style="148" bestFit="1" customWidth="1"/>
    <col min="1035" max="1281" width="9.140625" style="148"/>
    <col min="1282" max="1282" width="12.5703125" style="148" bestFit="1" customWidth="1"/>
    <col min="1283" max="1283" width="15" style="148" bestFit="1" customWidth="1"/>
    <col min="1284" max="1284" width="40.28515625" style="148" bestFit="1" customWidth="1"/>
    <col min="1285" max="1285" width="13.5703125" style="148" bestFit="1" customWidth="1"/>
    <col min="1286" max="1286" width="9.140625" style="148"/>
    <col min="1287" max="1290" width="9.28515625" style="148" bestFit="1" customWidth="1"/>
    <col min="1291" max="1537" width="9.140625" style="148"/>
    <col min="1538" max="1538" width="12.5703125" style="148" bestFit="1" customWidth="1"/>
    <col min="1539" max="1539" width="15" style="148" bestFit="1" customWidth="1"/>
    <col min="1540" max="1540" width="40.28515625" style="148" bestFit="1" customWidth="1"/>
    <col min="1541" max="1541" width="13.5703125" style="148" bestFit="1" customWidth="1"/>
    <col min="1542" max="1542" width="9.140625" style="148"/>
    <col min="1543" max="1546" width="9.28515625" style="148" bestFit="1" customWidth="1"/>
    <col min="1547" max="1793" width="9.140625" style="148"/>
    <col min="1794" max="1794" width="12.5703125" style="148" bestFit="1" customWidth="1"/>
    <col min="1795" max="1795" width="15" style="148" bestFit="1" customWidth="1"/>
    <col min="1796" max="1796" width="40.28515625" style="148" bestFit="1" customWidth="1"/>
    <col min="1797" max="1797" width="13.5703125" style="148" bestFit="1" customWidth="1"/>
    <col min="1798" max="1798" width="9.140625" style="148"/>
    <col min="1799" max="1802" width="9.28515625" style="148" bestFit="1" customWidth="1"/>
    <col min="1803" max="2049" width="9.140625" style="148"/>
    <col min="2050" max="2050" width="12.5703125" style="148" bestFit="1" customWidth="1"/>
    <col min="2051" max="2051" width="15" style="148" bestFit="1" customWidth="1"/>
    <col min="2052" max="2052" width="40.28515625" style="148" bestFit="1" customWidth="1"/>
    <col min="2053" max="2053" width="13.5703125" style="148" bestFit="1" customWidth="1"/>
    <col min="2054" max="2054" width="9.140625" style="148"/>
    <col min="2055" max="2058" width="9.28515625" style="148" bestFit="1" customWidth="1"/>
    <col min="2059" max="2305" width="9.140625" style="148"/>
    <col min="2306" max="2306" width="12.5703125" style="148" bestFit="1" customWidth="1"/>
    <col min="2307" max="2307" width="15" style="148" bestFit="1" customWidth="1"/>
    <col min="2308" max="2308" width="40.28515625" style="148" bestFit="1" customWidth="1"/>
    <col min="2309" max="2309" width="13.5703125" style="148" bestFit="1" customWidth="1"/>
    <col min="2310" max="2310" width="9.140625" style="148"/>
    <col min="2311" max="2314" width="9.28515625" style="148" bestFit="1" customWidth="1"/>
    <col min="2315" max="2561" width="9.140625" style="148"/>
    <col min="2562" max="2562" width="12.5703125" style="148" bestFit="1" customWidth="1"/>
    <col min="2563" max="2563" width="15" style="148" bestFit="1" customWidth="1"/>
    <col min="2564" max="2564" width="40.28515625" style="148" bestFit="1" customWidth="1"/>
    <col min="2565" max="2565" width="13.5703125" style="148" bestFit="1" customWidth="1"/>
    <col min="2566" max="2566" width="9.140625" style="148"/>
    <col min="2567" max="2570" width="9.28515625" style="148" bestFit="1" customWidth="1"/>
    <col min="2571" max="2817" width="9.140625" style="148"/>
    <col min="2818" max="2818" width="12.5703125" style="148" bestFit="1" customWidth="1"/>
    <col min="2819" max="2819" width="15" style="148" bestFit="1" customWidth="1"/>
    <col min="2820" max="2820" width="40.28515625" style="148" bestFit="1" customWidth="1"/>
    <col min="2821" max="2821" width="13.5703125" style="148" bestFit="1" customWidth="1"/>
    <col min="2822" max="2822" width="9.140625" style="148"/>
    <col min="2823" max="2826" width="9.28515625" style="148" bestFit="1" customWidth="1"/>
    <col min="2827" max="3073" width="9.140625" style="148"/>
    <col min="3074" max="3074" width="12.5703125" style="148" bestFit="1" customWidth="1"/>
    <col min="3075" max="3075" width="15" style="148" bestFit="1" customWidth="1"/>
    <col min="3076" max="3076" width="40.28515625" style="148" bestFit="1" customWidth="1"/>
    <col min="3077" max="3077" width="13.5703125" style="148" bestFit="1" customWidth="1"/>
    <col min="3078" max="3078" width="9.140625" style="148"/>
    <col min="3079" max="3082" width="9.28515625" style="148" bestFit="1" customWidth="1"/>
    <col min="3083" max="3329" width="9.140625" style="148"/>
    <col min="3330" max="3330" width="12.5703125" style="148" bestFit="1" customWidth="1"/>
    <col min="3331" max="3331" width="15" style="148" bestFit="1" customWidth="1"/>
    <col min="3332" max="3332" width="40.28515625" style="148" bestFit="1" customWidth="1"/>
    <col min="3333" max="3333" width="13.5703125" style="148" bestFit="1" customWidth="1"/>
    <col min="3334" max="3334" width="9.140625" style="148"/>
    <col min="3335" max="3338" width="9.28515625" style="148" bestFit="1" customWidth="1"/>
    <col min="3339" max="3585" width="9.140625" style="148"/>
    <col min="3586" max="3586" width="12.5703125" style="148" bestFit="1" customWidth="1"/>
    <col min="3587" max="3587" width="15" style="148" bestFit="1" customWidth="1"/>
    <col min="3588" max="3588" width="40.28515625" style="148" bestFit="1" customWidth="1"/>
    <col min="3589" max="3589" width="13.5703125" style="148" bestFit="1" customWidth="1"/>
    <col min="3590" max="3590" width="9.140625" style="148"/>
    <col min="3591" max="3594" width="9.28515625" style="148" bestFit="1" customWidth="1"/>
    <col min="3595" max="3841" width="9.140625" style="148"/>
    <col min="3842" max="3842" width="12.5703125" style="148" bestFit="1" customWidth="1"/>
    <col min="3843" max="3843" width="15" style="148" bestFit="1" customWidth="1"/>
    <col min="3844" max="3844" width="40.28515625" style="148" bestFit="1" customWidth="1"/>
    <col min="3845" max="3845" width="13.5703125" style="148" bestFit="1" customWidth="1"/>
    <col min="3846" max="3846" width="9.140625" style="148"/>
    <col min="3847" max="3850" width="9.28515625" style="148" bestFit="1" customWidth="1"/>
    <col min="3851" max="4097" width="9.140625" style="148"/>
    <col min="4098" max="4098" width="12.5703125" style="148" bestFit="1" customWidth="1"/>
    <col min="4099" max="4099" width="15" style="148" bestFit="1" customWidth="1"/>
    <col min="4100" max="4100" width="40.28515625" style="148" bestFit="1" customWidth="1"/>
    <col min="4101" max="4101" width="13.5703125" style="148" bestFit="1" customWidth="1"/>
    <col min="4102" max="4102" width="9.140625" style="148"/>
    <col min="4103" max="4106" width="9.28515625" style="148" bestFit="1" customWidth="1"/>
    <col min="4107" max="4353" width="9.140625" style="148"/>
    <col min="4354" max="4354" width="12.5703125" style="148" bestFit="1" customWidth="1"/>
    <col min="4355" max="4355" width="15" style="148" bestFit="1" customWidth="1"/>
    <col min="4356" max="4356" width="40.28515625" style="148" bestFit="1" customWidth="1"/>
    <col min="4357" max="4357" width="13.5703125" style="148" bestFit="1" customWidth="1"/>
    <col min="4358" max="4358" width="9.140625" style="148"/>
    <col min="4359" max="4362" width="9.28515625" style="148" bestFit="1" customWidth="1"/>
    <col min="4363" max="4609" width="9.140625" style="148"/>
    <col min="4610" max="4610" width="12.5703125" style="148" bestFit="1" customWidth="1"/>
    <col min="4611" max="4611" width="15" style="148" bestFit="1" customWidth="1"/>
    <col min="4612" max="4612" width="40.28515625" style="148" bestFit="1" customWidth="1"/>
    <col min="4613" max="4613" width="13.5703125" style="148" bestFit="1" customWidth="1"/>
    <col min="4614" max="4614" width="9.140625" style="148"/>
    <col min="4615" max="4618" width="9.28515625" style="148" bestFit="1" customWidth="1"/>
    <col min="4619" max="4865" width="9.140625" style="148"/>
    <col min="4866" max="4866" width="12.5703125" style="148" bestFit="1" customWidth="1"/>
    <col min="4867" max="4867" width="15" style="148" bestFit="1" customWidth="1"/>
    <col min="4868" max="4868" width="40.28515625" style="148" bestFit="1" customWidth="1"/>
    <col min="4869" max="4869" width="13.5703125" style="148" bestFit="1" customWidth="1"/>
    <col min="4870" max="4870" width="9.140625" style="148"/>
    <col min="4871" max="4874" width="9.28515625" style="148" bestFit="1" customWidth="1"/>
    <col min="4875" max="5121" width="9.140625" style="148"/>
    <col min="5122" max="5122" width="12.5703125" style="148" bestFit="1" customWidth="1"/>
    <col min="5123" max="5123" width="15" style="148" bestFit="1" customWidth="1"/>
    <col min="5124" max="5124" width="40.28515625" style="148" bestFit="1" customWidth="1"/>
    <col min="5125" max="5125" width="13.5703125" style="148" bestFit="1" customWidth="1"/>
    <col min="5126" max="5126" width="9.140625" style="148"/>
    <col min="5127" max="5130" width="9.28515625" style="148" bestFit="1" customWidth="1"/>
    <col min="5131" max="5377" width="9.140625" style="148"/>
    <col min="5378" max="5378" width="12.5703125" style="148" bestFit="1" customWidth="1"/>
    <col min="5379" max="5379" width="15" style="148" bestFit="1" customWidth="1"/>
    <col min="5380" max="5380" width="40.28515625" style="148" bestFit="1" customWidth="1"/>
    <col min="5381" max="5381" width="13.5703125" style="148" bestFit="1" customWidth="1"/>
    <col min="5382" max="5382" width="9.140625" style="148"/>
    <col min="5383" max="5386" width="9.28515625" style="148" bestFit="1" customWidth="1"/>
    <col min="5387" max="5633" width="9.140625" style="148"/>
    <col min="5634" max="5634" width="12.5703125" style="148" bestFit="1" customWidth="1"/>
    <col min="5635" max="5635" width="15" style="148" bestFit="1" customWidth="1"/>
    <col min="5636" max="5636" width="40.28515625" style="148" bestFit="1" customWidth="1"/>
    <col min="5637" max="5637" width="13.5703125" style="148" bestFit="1" customWidth="1"/>
    <col min="5638" max="5638" width="9.140625" style="148"/>
    <col min="5639" max="5642" width="9.28515625" style="148" bestFit="1" customWidth="1"/>
    <col min="5643" max="5889" width="9.140625" style="148"/>
    <col min="5890" max="5890" width="12.5703125" style="148" bestFit="1" customWidth="1"/>
    <col min="5891" max="5891" width="15" style="148" bestFit="1" customWidth="1"/>
    <col min="5892" max="5892" width="40.28515625" style="148" bestFit="1" customWidth="1"/>
    <col min="5893" max="5893" width="13.5703125" style="148" bestFit="1" customWidth="1"/>
    <col min="5894" max="5894" width="9.140625" style="148"/>
    <col min="5895" max="5898" width="9.28515625" style="148" bestFit="1" customWidth="1"/>
    <col min="5899" max="6145" width="9.140625" style="148"/>
    <col min="6146" max="6146" width="12.5703125" style="148" bestFit="1" customWidth="1"/>
    <col min="6147" max="6147" width="15" style="148" bestFit="1" customWidth="1"/>
    <col min="6148" max="6148" width="40.28515625" style="148" bestFit="1" customWidth="1"/>
    <col min="6149" max="6149" width="13.5703125" style="148" bestFit="1" customWidth="1"/>
    <col min="6150" max="6150" width="9.140625" style="148"/>
    <col min="6151" max="6154" width="9.28515625" style="148" bestFit="1" customWidth="1"/>
    <col min="6155" max="6401" width="9.140625" style="148"/>
    <col min="6402" max="6402" width="12.5703125" style="148" bestFit="1" customWidth="1"/>
    <col min="6403" max="6403" width="15" style="148" bestFit="1" customWidth="1"/>
    <col min="6404" max="6404" width="40.28515625" style="148" bestFit="1" customWidth="1"/>
    <col min="6405" max="6405" width="13.5703125" style="148" bestFit="1" customWidth="1"/>
    <col min="6406" max="6406" width="9.140625" style="148"/>
    <col min="6407" max="6410" width="9.28515625" style="148" bestFit="1" customWidth="1"/>
    <col min="6411" max="6657" width="9.140625" style="148"/>
    <col min="6658" max="6658" width="12.5703125" style="148" bestFit="1" customWidth="1"/>
    <col min="6659" max="6659" width="15" style="148" bestFit="1" customWidth="1"/>
    <col min="6660" max="6660" width="40.28515625" style="148" bestFit="1" customWidth="1"/>
    <col min="6661" max="6661" width="13.5703125" style="148" bestFit="1" customWidth="1"/>
    <col min="6662" max="6662" width="9.140625" style="148"/>
    <col min="6663" max="6666" width="9.28515625" style="148" bestFit="1" customWidth="1"/>
    <col min="6667" max="6913" width="9.140625" style="148"/>
    <col min="6914" max="6914" width="12.5703125" style="148" bestFit="1" customWidth="1"/>
    <col min="6915" max="6915" width="15" style="148" bestFit="1" customWidth="1"/>
    <col min="6916" max="6916" width="40.28515625" style="148" bestFit="1" customWidth="1"/>
    <col min="6917" max="6917" width="13.5703125" style="148" bestFit="1" customWidth="1"/>
    <col min="6918" max="6918" width="9.140625" style="148"/>
    <col min="6919" max="6922" width="9.28515625" style="148" bestFit="1" customWidth="1"/>
    <col min="6923" max="7169" width="9.140625" style="148"/>
    <col min="7170" max="7170" width="12.5703125" style="148" bestFit="1" customWidth="1"/>
    <col min="7171" max="7171" width="15" style="148" bestFit="1" customWidth="1"/>
    <col min="7172" max="7172" width="40.28515625" style="148" bestFit="1" customWidth="1"/>
    <col min="7173" max="7173" width="13.5703125" style="148" bestFit="1" customWidth="1"/>
    <col min="7174" max="7174" width="9.140625" style="148"/>
    <col min="7175" max="7178" width="9.28515625" style="148" bestFit="1" customWidth="1"/>
    <col min="7179" max="7425" width="9.140625" style="148"/>
    <col min="7426" max="7426" width="12.5703125" style="148" bestFit="1" customWidth="1"/>
    <col min="7427" max="7427" width="15" style="148" bestFit="1" customWidth="1"/>
    <col min="7428" max="7428" width="40.28515625" style="148" bestFit="1" customWidth="1"/>
    <col min="7429" max="7429" width="13.5703125" style="148" bestFit="1" customWidth="1"/>
    <col min="7430" max="7430" width="9.140625" style="148"/>
    <col min="7431" max="7434" width="9.28515625" style="148" bestFit="1" customWidth="1"/>
    <col min="7435" max="7681" width="9.140625" style="148"/>
    <col min="7682" max="7682" width="12.5703125" style="148" bestFit="1" customWidth="1"/>
    <col min="7683" max="7683" width="15" style="148" bestFit="1" customWidth="1"/>
    <col min="7684" max="7684" width="40.28515625" style="148" bestFit="1" customWidth="1"/>
    <col min="7685" max="7685" width="13.5703125" style="148" bestFit="1" customWidth="1"/>
    <col min="7686" max="7686" width="9.140625" style="148"/>
    <col min="7687" max="7690" width="9.28515625" style="148" bestFit="1" customWidth="1"/>
    <col min="7691" max="7937" width="9.140625" style="148"/>
    <col min="7938" max="7938" width="12.5703125" style="148" bestFit="1" customWidth="1"/>
    <col min="7939" max="7939" width="15" style="148" bestFit="1" customWidth="1"/>
    <col min="7940" max="7940" width="40.28515625" style="148" bestFit="1" customWidth="1"/>
    <col min="7941" max="7941" width="13.5703125" style="148" bestFit="1" customWidth="1"/>
    <col min="7942" max="7942" width="9.140625" style="148"/>
    <col min="7943" max="7946" width="9.28515625" style="148" bestFit="1" customWidth="1"/>
    <col min="7947" max="8193" width="9.140625" style="148"/>
    <col min="8194" max="8194" width="12.5703125" style="148" bestFit="1" customWidth="1"/>
    <col min="8195" max="8195" width="15" style="148" bestFit="1" customWidth="1"/>
    <col min="8196" max="8196" width="40.28515625" style="148" bestFit="1" customWidth="1"/>
    <col min="8197" max="8197" width="13.5703125" style="148" bestFit="1" customWidth="1"/>
    <col min="8198" max="8198" width="9.140625" style="148"/>
    <col min="8199" max="8202" width="9.28515625" style="148" bestFit="1" customWidth="1"/>
    <col min="8203" max="8449" width="9.140625" style="148"/>
    <col min="8450" max="8450" width="12.5703125" style="148" bestFit="1" customWidth="1"/>
    <col min="8451" max="8451" width="15" style="148" bestFit="1" customWidth="1"/>
    <col min="8452" max="8452" width="40.28515625" style="148" bestFit="1" customWidth="1"/>
    <col min="8453" max="8453" width="13.5703125" style="148" bestFit="1" customWidth="1"/>
    <col min="8454" max="8454" width="9.140625" style="148"/>
    <col min="8455" max="8458" width="9.28515625" style="148" bestFit="1" customWidth="1"/>
    <col min="8459" max="8705" width="9.140625" style="148"/>
    <col min="8706" max="8706" width="12.5703125" style="148" bestFit="1" customWidth="1"/>
    <col min="8707" max="8707" width="15" style="148" bestFit="1" customWidth="1"/>
    <col min="8708" max="8708" width="40.28515625" style="148" bestFit="1" customWidth="1"/>
    <col min="8709" max="8709" width="13.5703125" style="148" bestFit="1" customWidth="1"/>
    <col min="8710" max="8710" width="9.140625" style="148"/>
    <col min="8711" max="8714" width="9.28515625" style="148" bestFit="1" customWidth="1"/>
    <col min="8715" max="8961" width="9.140625" style="148"/>
    <col min="8962" max="8962" width="12.5703125" style="148" bestFit="1" customWidth="1"/>
    <col min="8963" max="8963" width="15" style="148" bestFit="1" customWidth="1"/>
    <col min="8964" max="8964" width="40.28515625" style="148" bestFit="1" customWidth="1"/>
    <col min="8965" max="8965" width="13.5703125" style="148" bestFit="1" customWidth="1"/>
    <col min="8966" max="8966" width="9.140625" style="148"/>
    <col min="8967" max="8970" width="9.28515625" style="148" bestFit="1" customWidth="1"/>
    <col min="8971" max="9217" width="9.140625" style="148"/>
    <col min="9218" max="9218" width="12.5703125" style="148" bestFit="1" customWidth="1"/>
    <col min="9219" max="9219" width="15" style="148" bestFit="1" customWidth="1"/>
    <col min="9220" max="9220" width="40.28515625" style="148" bestFit="1" customWidth="1"/>
    <col min="9221" max="9221" width="13.5703125" style="148" bestFit="1" customWidth="1"/>
    <col min="9222" max="9222" width="9.140625" style="148"/>
    <col min="9223" max="9226" width="9.28515625" style="148" bestFit="1" customWidth="1"/>
    <col min="9227" max="9473" width="9.140625" style="148"/>
    <col min="9474" max="9474" width="12.5703125" style="148" bestFit="1" customWidth="1"/>
    <col min="9475" max="9475" width="15" style="148" bestFit="1" customWidth="1"/>
    <col min="9476" max="9476" width="40.28515625" style="148" bestFit="1" customWidth="1"/>
    <col min="9477" max="9477" width="13.5703125" style="148" bestFit="1" customWidth="1"/>
    <col min="9478" max="9478" width="9.140625" style="148"/>
    <col min="9479" max="9482" width="9.28515625" style="148" bestFit="1" customWidth="1"/>
    <col min="9483" max="9729" width="9.140625" style="148"/>
    <col min="9730" max="9730" width="12.5703125" style="148" bestFit="1" customWidth="1"/>
    <col min="9731" max="9731" width="15" style="148" bestFit="1" customWidth="1"/>
    <col min="9732" max="9732" width="40.28515625" style="148" bestFit="1" customWidth="1"/>
    <col min="9733" max="9733" width="13.5703125" style="148" bestFit="1" customWidth="1"/>
    <col min="9734" max="9734" width="9.140625" style="148"/>
    <col min="9735" max="9738" width="9.28515625" style="148" bestFit="1" customWidth="1"/>
    <col min="9739" max="9985" width="9.140625" style="148"/>
    <col min="9986" max="9986" width="12.5703125" style="148" bestFit="1" customWidth="1"/>
    <col min="9987" max="9987" width="15" style="148" bestFit="1" customWidth="1"/>
    <col min="9988" max="9988" width="40.28515625" style="148" bestFit="1" customWidth="1"/>
    <col min="9989" max="9989" width="13.5703125" style="148" bestFit="1" customWidth="1"/>
    <col min="9990" max="9990" width="9.140625" style="148"/>
    <col min="9991" max="9994" width="9.28515625" style="148" bestFit="1" customWidth="1"/>
    <col min="9995" max="10241" width="9.140625" style="148"/>
    <col min="10242" max="10242" width="12.5703125" style="148" bestFit="1" customWidth="1"/>
    <col min="10243" max="10243" width="15" style="148" bestFit="1" customWidth="1"/>
    <col min="10244" max="10244" width="40.28515625" style="148" bestFit="1" customWidth="1"/>
    <col min="10245" max="10245" width="13.5703125" style="148" bestFit="1" customWidth="1"/>
    <col min="10246" max="10246" width="9.140625" style="148"/>
    <col min="10247" max="10250" width="9.28515625" style="148" bestFit="1" customWidth="1"/>
    <col min="10251" max="10497" width="9.140625" style="148"/>
    <col min="10498" max="10498" width="12.5703125" style="148" bestFit="1" customWidth="1"/>
    <col min="10499" max="10499" width="15" style="148" bestFit="1" customWidth="1"/>
    <col min="10500" max="10500" width="40.28515625" style="148" bestFit="1" customWidth="1"/>
    <col min="10501" max="10501" width="13.5703125" style="148" bestFit="1" customWidth="1"/>
    <col min="10502" max="10502" width="9.140625" style="148"/>
    <col min="10503" max="10506" width="9.28515625" style="148" bestFit="1" customWidth="1"/>
    <col min="10507" max="10753" width="9.140625" style="148"/>
    <col min="10754" max="10754" width="12.5703125" style="148" bestFit="1" customWidth="1"/>
    <col min="10755" max="10755" width="15" style="148" bestFit="1" customWidth="1"/>
    <col min="10756" max="10756" width="40.28515625" style="148" bestFit="1" customWidth="1"/>
    <col min="10757" max="10757" width="13.5703125" style="148" bestFit="1" customWidth="1"/>
    <col min="10758" max="10758" width="9.140625" style="148"/>
    <col min="10759" max="10762" width="9.28515625" style="148" bestFit="1" customWidth="1"/>
    <col min="10763" max="11009" width="9.140625" style="148"/>
    <col min="11010" max="11010" width="12.5703125" style="148" bestFit="1" customWidth="1"/>
    <col min="11011" max="11011" width="15" style="148" bestFit="1" customWidth="1"/>
    <col min="11012" max="11012" width="40.28515625" style="148" bestFit="1" customWidth="1"/>
    <col min="11013" max="11013" width="13.5703125" style="148" bestFit="1" customWidth="1"/>
    <col min="11014" max="11014" width="9.140625" style="148"/>
    <col min="11015" max="11018" width="9.28515625" style="148" bestFit="1" customWidth="1"/>
    <col min="11019" max="11265" width="9.140625" style="148"/>
    <col min="11266" max="11266" width="12.5703125" style="148" bestFit="1" customWidth="1"/>
    <col min="11267" max="11267" width="15" style="148" bestFit="1" customWidth="1"/>
    <col min="11268" max="11268" width="40.28515625" style="148" bestFit="1" customWidth="1"/>
    <col min="11269" max="11269" width="13.5703125" style="148" bestFit="1" customWidth="1"/>
    <col min="11270" max="11270" width="9.140625" style="148"/>
    <col min="11271" max="11274" width="9.28515625" style="148" bestFit="1" customWidth="1"/>
    <col min="11275" max="11521" width="9.140625" style="148"/>
    <col min="11522" max="11522" width="12.5703125" style="148" bestFit="1" customWidth="1"/>
    <col min="11523" max="11523" width="15" style="148" bestFit="1" customWidth="1"/>
    <col min="11524" max="11524" width="40.28515625" style="148" bestFit="1" customWidth="1"/>
    <col min="11525" max="11525" width="13.5703125" style="148" bestFit="1" customWidth="1"/>
    <col min="11526" max="11526" width="9.140625" style="148"/>
    <col min="11527" max="11530" width="9.28515625" style="148" bestFit="1" customWidth="1"/>
    <col min="11531" max="11777" width="9.140625" style="148"/>
    <col min="11778" max="11778" width="12.5703125" style="148" bestFit="1" customWidth="1"/>
    <col min="11779" max="11779" width="15" style="148" bestFit="1" customWidth="1"/>
    <col min="11780" max="11780" width="40.28515625" style="148" bestFit="1" customWidth="1"/>
    <col min="11781" max="11781" width="13.5703125" style="148" bestFit="1" customWidth="1"/>
    <col min="11782" max="11782" width="9.140625" style="148"/>
    <col min="11783" max="11786" width="9.28515625" style="148" bestFit="1" customWidth="1"/>
    <col min="11787" max="12033" width="9.140625" style="148"/>
    <col min="12034" max="12034" width="12.5703125" style="148" bestFit="1" customWidth="1"/>
    <col min="12035" max="12035" width="15" style="148" bestFit="1" customWidth="1"/>
    <col min="12036" max="12036" width="40.28515625" style="148" bestFit="1" customWidth="1"/>
    <col min="12037" max="12037" width="13.5703125" style="148" bestFit="1" customWidth="1"/>
    <col min="12038" max="12038" width="9.140625" style="148"/>
    <col min="12039" max="12042" width="9.28515625" style="148" bestFit="1" customWidth="1"/>
    <col min="12043" max="12289" width="9.140625" style="148"/>
    <col min="12290" max="12290" width="12.5703125" style="148" bestFit="1" customWidth="1"/>
    <col min="12291" max="12291" width="15" style="148" bestFit="1" customWidth="1"/>
    <col min="12292" max="12292" width="40.28515625" style="148" bestFit="1" customWidth="1"/>
    <col min="12293" max="12293" width="13.5703125" style="148" bestFit="1" customWidth="1"/>
    <col min="12294" max="12294" width="9.140625" style="148"/>
    <col min="12295" max="12298" width="9.28515625" style="148" bestFit="1" customWidth="1"/>
    <col min="12299" max="12545" width="9.140625" style="148"/>
    <col min="12546" max="12546" width="12.5703125" style="148" bestFit="1" customWidth="1"/>
    <col min="12547" max="12547" width="15" style="148" bestFit="1" customWidth="1"/>
    <col min="12548" max="12548" width="40.28515625" style="148" bestFit="1" customWidth="1"/>
    <col min="12549" max="12549" width="13.5703125" style="148" bestFit="1" customWidth="1"/>
    <col min="12550" max="12550" width="9.140625" style="148"/>
    <col min="12551" max="12554" width="9.28515625" style="148" bestFit="1" customWidth="1"/>
    <col min="12555" max="12801" width="9.140625" style="148"/>
    <col min="12802" max="12802" width="12.5703125" style="148" bestFit="1" customWidth="1"/>
    <col min="12803" max="12803" width="15" style="148" bestFit="1" customWidth="1"/>
    <col min="12804" max="12804" width="40.28515625" style="148" bestFit="1" customWidth="1"/>
    <col min="12805" max="12805" width="13.5703125" style="148" bestFit="1" customWidth="1"/>
    <col min="12806" max="12806" width="9.140625" style="148"/>
    <col min="12807" max="12810" width="9.28515625" style="148" bestFit="1" customWidth="1"/>
    <col min="12811" max="13057" width="9.140625" style="148"/>
    <col min="13058" max="13058" width="12.5703125" style="148" bestFit="1" customWidth="1"/>
    <col min="13059" max="13059" width="15" style="148" bestFit="1" customWidth="1"/>
    <col min="13060" max="13060" width="40.28515625" style="148" bestFit="1" customWidth="1"/>
    <col min="13061" max="13061" width="13.5703125" style="148" bestFit="1" customWidth="1"/>
    <col min="13062" max="13062" width="9.140625" style="148"/>
    <col min="13063" max="13066" width="9.28515625" style="148" bestFit="1" customWidth="1"/>
    <col min="13067" max="13313" width="9.140625" style="148"/>
    <col min="13314" max="13314" width="12.5703125" style="148" bestFit="1" customWidth="1"/>
    <col min="13315" max="13315" width="15" style="148" bestFit="1" customWidth="1"/>
    <col min="13316" max="13316" width="40.28515625" style="148" bestFit="1" customWidth="1"/>
    <col min="13317" max="13317" width="13.5703125" style="148" bestFit="1" customWidth="1"/>
    <col min="13318" max="13318" width="9.140625" style="148"/>
    <col min="13319" max="13322" width="9.28515625" style="148" bestFit="1" customWidth="1"/>
    <col min="13323" max="13569" width="9.140625" style="148"/>
    <col min="13570" max="13570" width="12.5703125" style="148" bestFit="1" customWidth="1"/>
    <col min="13571" max="13571" width="15" style="148" bestFit="1" customWidth="1"/>
    <col min="13572" max="13572" width="40.28515625" style="148" bestFit="1" customWidth="1"/>
    <col min="13573" max="13573" width="13.5703125" style="148" bestFit="1" customWidth="1"/>
    <col min="13574" max="13574" width="9.140625" style="148"/>
    <col min="13575" max="13578" width="9.28515625" style="148" bestFit="1" customWidth="1"/>
    <col min="13579" max="13825" width="9.140625" style="148"/>
    <col min="13826" max="13826" width="12.5703125" style="148" bestFit="1" customWidth="1"/>
    <col min="13827" max="13827" width="15" style="148" bestFit="1" customWidth="1"/>
    <col min="13828" max="13828" width="40.28515625" style="148" bestFit="1" customWidth="1"/>
    <col min="13829" max="13829" width="13.5703125" style="148" bestFit="1" customWidth="1"/>
    <col min="13830" max="13830" width="9.140625" style="148"/>
    <col min="13831" max="13834" width="9.28515625" style="148" bestFit="1" customWidth="1"/>
    <col min="13835" max="14081" width="9.140625" style="148"/>
    <col min="14082" max="14082" width="12.5703125" style="148" bestFit="1" customWidth="1"/>
    <col min="14083" max="14083" width="15" style="148" bestFit="1" customWidth="1"/>
    <col min="14084" max="14084" width="40.28515625" style="148" bestFit="1" customWidth="1"/>
    <col min="14085" max="14085" width="13.5703125" style="148" bestFit="1" customWidth="1"/>
    <col min="14086" max="14086" width="9.140625" style="148"/>
    <col min="14087" max="14090" width="9.28515625" style="148" bestFit="1" customWidth="1"/>
    <col min="14091" max="14337" width="9.140625" style="148"/>
    <col min="14338" max="14338" width="12.5703125" style="148" bestFit="1" customWidth="1"/>
    <col min="14339" max="14339" width="15" style="148" bestFit="1" customWidth="1"/>
    <col min="14340" max="14340" width="40.28515625" style="148" bestFit="1" customWidth="1"/>
    <col min="14341" max="14341" width="13.5703125" style="148" bestFit="1" customWidth="1"/>
    <col min="14342" max="14342" width="9.140625" style="148"/>
    <col min="14343" max="14346" width="9.28515625" style="148" bestFit="1" customWidth="1"/>
    <col min="14347" max="14593" width="9.140625" style="148"/>
    <col min="14594" max="14594" width="12.5703125" style="148" bestFit="1" customWidth="1"/>
    <col min="14595" max="14595" width="15" style="148" bestFit="1" customWidth="1"/>
    <col min="14596" max="14596" width="40.28515625" style="148" bestFit="1" customWidth="1"/>
    <col min="14597" max="14597" width="13.5703125" style="148" bestFit="1" customWidth="1"/>
    <col min="14598" max="14598" width="9.140625" style="148"/>
    <col min="14599" max="14602" width="9.28515625" style="148" bestFit="1" customWidth="1"/>
    <col min="14603" max="14849" width="9.140625" style="148"/>
    <col min="14850" max="14850" width="12.5703125" style="148" bestFit="1" customWidth="1"/>
    <col min="14851" max="14851" width="15" style="148" bestFit="1" customWidth="1"/>
    <col min="14852" max="14852" width="40.28515625" style="148" bestFit="1" customWidth="1"/>
    <col min="14853" max="14853" width="13.5703125" style="148" bestFit="1" customWidth="1"/>
    <col min="14854" max="14854" width="9.140625" style="148"/>
    <col min="14855" max="14858" width="9.28515625" style="148" bestFit="1" customWidth="1"/>
    <col min="14859" max="15105" width="9.140625" style="148"/>
    <col min="15106" max="15106" width="12.5703125" style="148" bestFit="1" customWidth="1"/>
    <col min="15107" max="15107" width="15" style="148" bestFit="1" customWidth="1"/>
    <col min="15108" max="15108" width="40.28515625" style="148" bestFit="1" customWidth="1"/>
    <col min="15109" max="15109" width="13.5703125" style="148" bestFit="1" customWidth="1"/>
    <col min="15110" max="15110" width="9.140625" style="148"/>
    <col min="15111" max="15114" width="9.28515625" style="148" bestFit="1" customWidth="1"/>
    <col min="15115" max="15361" width="9.140625" style="148"/>
    <col min="15362" max="15362" width="12.5703125" style="148" bestFit="1" customWidth="1"/>
    <col min="15363" max="15363" width="15" style="148" bestFit="1" customWidth="1"/>
    <col min="15364" max="15364" width="40.28515625" style="148" bestFit="1" customWidth="1"/>
    <col min="15365" max="15365" width="13.5703125" style="148" bestFit="1" customWidth="1"/>
    <col min="15366" max="15366" width="9.140625" style="148"/>
    <col min="15367" max="15370" width="9.28515625" style="148" bestFit="1" customWidth="1"/>
    <col min="15371" max="15617" width="9.140625" style="148"/>
    <col min="15618" max="15618" width="12.5703125" style="148" bestFit="1" customWidth="1"/>
    <col min="15619" max="15619" width="15" style="148" bestFit="1" customWidth="1"/>
    <col min="15620" max="15620" width="40.28515625" style="148" bestFit="1" customWidth="1"/>
    <col min="15621" max="15621" width="13.5703125" style="148" bestFit="1" customWidth="1"/>
    <col min="15622" max="15622" width="9.140625" style="148"/>
    <col min="15623" max="15626" width="9.28515625" style="148" bestFit="1" customWidth="1"/>
    <col min="15627" max="15873" width="9.140625" style="148"/>
    <col min="15874" max="15874" width="12.5703125" style="148" bestFit="1" customWidth="1"/>
    <col min="15875" max="15875" width="15" style="148" bestFit="1" customWidth="1"/>
    <col min="15876" max="15876" width="40.28515625" style="148" bestFit="1" customWidth="1"/>
    <col min="15877" max="15877" width="13.5703125" style="148" bestFit="1" customWidth="1"/>
    <col min="15878" max="15878" width="9.140625" style="148"/>
    <col min="15879" max="15882" width="9.28515625" style="148" bestFit="1" customWidth="1"/>
    <col min="15883" max="16129" width="9.140625" style="148"/>
    <col min="16130" max="16130" width="12.5703125" style="148" bestFit="1" customWidth="1"/>
    <col min="16131" max="16131" width="15" style="148" bestFit="1" customWidth="1"/>
    <col min="16132" max="16132" width="40.28515625" style="148" bestFit="1" customWidth="1"/>
    <col min="16133" max="16133" width="13.5703125" style="148" bestFit="1" customWidth="1"/>
    <col min="16134" max="16134" width="9.140625" style="148"/>
    <col min="16135" max="16138" width="9.28515625" style="148" bestFit="1" customWidth="1"/>
    <col min="16139" max="16384" width="9.140625" style="148"/>
  </cols>
  <sheetData>
    <row r="1" spans="1:10">
      <c r="A1" s="152" t="s">
        <v>1181</v>
      </c>
    </row>
    <row r="2" spans="1:10">
      <c r="A2" s="149" t="s">
        <v>228</v>
      </c>
      <c r="B2" s="154" t="s">
        <v>856</v>
      </c>
      <c r="C2" s="148" t="s">
        <v>859</v>
      </c>
      <c r="D2" s="148" t="s">
        <v>860</v>
      </c>
      <c r="E2" s="148" t="s">
        <v>861</v>
      </c>
      <c r="F2" s="148" t="s">
        <v>862</v>
      </c>
      <c r="G2" s="150" t="s">
        <v>863</v>
      </c>
      <c r="H2" s="150" t="s">
        <v>864</v>
      </c>
      <c r="I2" s="150" t="s">
        <v>29</v>
      </c>
      <c r="J2" s="150" t="s">
        <v>865</v>
      </c>
    </row>
    <row r="3" spans="1:10">
      <c r="A3" s="149">
        <v>45713</v>
      </c>
      <c r="B3" s="154" t="s">
        <v>729</v>
      </c>
      <c r="C3" s="148" t="s">
        <v>1182</v>
      </c>
      <c r="D3" s="148" t="s">
        <v>867</v>
      </c>
      <c r="E3" s="148" t="s">
        <v>1169</v>
      </c>
      <c r="F3" s="148" t="s">
        <v>753</v>
      </c>
      <c r="G3" s="150">
        <v>1508.76</v>
      </c>
      <c r="H3" s="150">
        <v>36</v>
      </c>
      <c r="I3" s="150">
        <v>1544.76</v>
      </c>
      <c r="J3" s="150">
        <v>1544.76</v>
      </c>
    </row>
    <row r="4" spans="1:10">
      <c r="A4" s="149">
        <v>45745</v>
      </c>
      <c r="B4" s="154" t="s">
        <v>738</v>
      </c>
      <c r="C4" s="148" t="s">
        <v>1183</v>
      </c>
      <c r="D4" s="148" t="s">
        <v>867</v>
      </c>
      <c r="E4" s="148" t="s">
        <v>1179</v>
      </c>
      <c r="F4" s="148" t="s">
        <v>800</v>
      </c>
      <c r="G4" s="150">
        <v>327.36</v>
      </c>
      <c r="H4" s="150">
        <v>42</v>
      </c>
      <c r="I4" s="150">
        <v>369.36</v>
      </c>
      <c r="J4" s="150">
        <v>369.36</v>
      </c>
    </row>
    <row r="5" spans="1:10">
      <c r="A5" s="149">
        <v>45769</v>
      </c>
      <c r="B5" s="157" t="s">
        <v>730</v>
      </c>
      <c r="C5" t="s">
        <v>1238</v>
      </c>
      <c r="D5" t="s">
        <v>867</v>
      </c>
      <c r="E5" t="s">
        <v>1234</v>
      </c>
      <c r="F5" t="s">
        <v>753</v>
      </c>
      <c r="G5" s="50">
        <v>2126</v>
      </c>
      <c r="H5" s="50">
        <v>276</v>
      </c>
      <c r="I5" s="50">
        <v>2402</v>
      </c>
      <c r="J5" s="50">
        <v>2402</v>
      </c>
    </row>
    <row r="6" spans="1:10">
      <c r="A6" s="149">
        <v>45804</v>
      </c>
      <c r="B6" s="148" t="s">
        <v>731</v>
      </c>
      <c r="C6" s="148" t="s">
        <v>1296</v>
      </c>
      <c r="D6" s="148" t="s">
        <v>867</v>
      </c>
      <c r="E6" s="148" t="s">
        <v>1292</v>
      </c>
      <c r="F6" s="148" t="s">
        <v>804</v>
      </c>
      <c r="G6" s="150">
        <v>333.01</v>
      </c>
      <c r="H6" s="150">
        <v>120</v>
      </c>
      <c r="I6" s="150">
        <v>453.01</v>
      </c>
      <c r="J6" s="150">
        <v>453.01</v>
      </c>
    </row>
    <row r="17" spans="1:10" ht="15.75" thickBot="1">
      <c r="J17" s="153">
        <f>SUM(J3:J10)</f>
        <v>4769.13</v>
      </c>
    </row>
    <row r="18" spans="1:10" ht="15.75" thickTop="1"/>
    <row r="20" spans="1:10">
      <c r="A20" s="152" t="s">
        <v>1184</v>
      </c>
      <c r="B20" s="152"/>
    </row>
    <row r="21" spans="1:10">
      <c r="A21" s="149">
        <v>45664</v>
      </c>
      <c r="B21" s="154" t="s">
        <v>728</v>
      </c>
      <c r="C21" s="148" t="s">
        <v>1185</v>
      </c>
      <c r="D21" s="148" t="s">
        <v>867</v>
      </c>
      <c r="E21" s="148" t="s">
        <v>1157</v>
      </c>
      <c r="F21" s="148" t="s">
        <v>780</v>
      </c>
      <c r="G21" s="150">
        <v>501.18</v>
      </c>
      <c r="H21" s="150">
        <v>222</v>
      </c>
      <c r="I21" s="150">
        <v>723.18</v>
      </c>
      <c r="J21" s="150">
        <v>723.18</v>
      </c>
    </row>
    <row r="22" spans="1:10">
      <c r="A22" s="149">
        <v>45682</v>
      </c>
      <c r="B22" s="154" t="s">
        <v>728</v>
      </c>
      <c r="C22" s="148" t="s">
        <v>1186</v>
      </c>
      <c r="D22" s="148" t="s">
        <v>867</v>
      </c>
      <c r="G22" s="150">
        <v>501.18</v>
      </c>
      <c r="H22" s="150">
        <v>222</v>
      </c>
      <c r="I22" s="150">
        <v>723.18</v>
      </c>
      <c r="J22" s="150">
        <v>723.18</v>
      </c>
    </row>
    <row r="23" spans="1:10">
      <c r="A23" s="149">
        <v>45705</v>
      </c>
      <c r="B23" s="154" t="s">
        <v>729</v>
      </c>
      <c r="C23" s="148" t="s">
        <v>1187</v>
      </c>
      <c r="D23" s="148" t="s">
        <v>867</v>
      </c>
      <c r="E23" s="148" t="s">
        <v>1165</v>
      </c>
      <c r="F23" s="148" t="s">
        <v>808</v>
      </c>
      <c r="G23" s="150">
        <v>240.21</v>
      </c>
      <c r="H23" s="150">
        <v>108</v>
      </c>
      <c r="I23" s="150">
        <v>348.21</v>
      </c>
      <c r="J23" s="150">
        <v>348.21</v>
      </c>
    </row>
    <row r="24" spans="1:10">
      <c r="A24" s="149">
        <v>45713</v>
      </c>
      <c r="B24" s="154" t="s">
        <v>729</v>
      </c>
      <c r="C24" s="148" t="s">
        <v>1188</v>
      </c>
      <c r="D24" s="148" t="s">
        <v>867</v>
      </c>
      <c r="E24" s="148" t="s">
        <v>1167</v>
      </c>
      <c r="F24" s="148" t="s">
        <v>776</v>
      </c>
      <c r="G24" s="150">
        <v>240.21</v>
      </c>
      <c r="H24" s="150">
        <v>108</v>
      </c>
      <c r="I24" s="150">
        <v>348.21</v>
      </c>
      <c r="J24" s="150">
        <v>348.21</v>
      </c>
    </row>
    <row r="25" spans="1:10">
      <c r="A25" s="149">
        <v>45745</v>
      </c>
      <c r="B25" s="154" t="s">
        <v>738</v>
      </c>
      <c r="C25" s="148" t="s">
        <v>1189</v>
      </c>
      <c r="D25" s="148" t="s">
        <v>867</v>
      </c>
      <c r="E25" s="148" t="s">
        <v>1177</v>
      </c>
      <c r="F25" s="148" t="s">
        <v>800</v>
      </c>
      <c r="G25" s="150">
        <v>333.01</v>
      </c>
      <c r="H25" s="150">
        <v>120</v>
      </c>
      <c r="I25" s="150">
        <v>453.01</v>
      </c>
      <c r="J25" s="150">
        <v>453.01</v>
      </c>
    </row>
    <row r="26" spans="1:10">
      <c r="A26" s="149">
        <v>45776</v>
      </c>
      <c r="B26" s="157" t="s">
        <v>730</v>
      </c>
      <c r="C26" t="s">
        <v>1239</v>
      </c>
      <c r="D26" t="s">
        <v>867</v>
      </c>
      <c r="E26" t="s">
        <v>1236</v>
      </c>
      <c r="F26" t="s">
        <v>780</v>
      </c>
      <c r="G26" s="50">
        <v>333.01</v>
      </c>
      <c r="H26" s="50">
        <v>120</v>
      </c>
      <c r="I26" s="50">
        <v>453.01</v>
      </c>
      <c r="J26" s="150">
        <v>453.01</v>
      </c>
    </row>
    <row r="27" spans="1:10">
      <c r="A27" s="149">
        <v>45838</v>
      </c>
      <c r="B27" s="193" t="s">
        <v>732</v>
      </c>
      <c r="C27" s="148" t="s">
        <v>1405</v>
      </c>
      <c r="D27" s="148" t="s">
        <v>867</v>
      </c>
      <c r="E27" s="148" t="s">
        <v>1399</v>
      </c>
      <c r="F27" s="148" t="s">
        <v>808</v>
      </c>
      <c r="G27" s="148">
        <v>526.17999999999995</v>
      </c>
      <c r="H27" s="148">
        <v>222</v>
      </c>
      <c r="I27" s="148">
        <v>748.18</v>
      </c>
      <c r="J27" s="148">
        <v>748.18</v>
      </c>
    </row>
    <row r="28" spans="1:10">
      <c r="A28" s="149">
        <v>45976</v>
      </c>
      <c r="B28" s="149" t="s">
        <v>736</v>
      </c>
      <c r="C28" s="148" t="s">
        <v>1751</v>
      </c>
      <c r="D28" s="148" t="s">
        <v>867</v>
      </c>
      <c r="E28" s="148" t="s">
        <v>1745</v>
      </c>
      <c r="F28" s="148" t="s">
        <v>808</v>
      </c>
      <c r="G28" s="150">
        <v>334.61</v>
      </c>
      <c r="H28" s="150">
        <v>120</v>
      </c>
      <c r="I28" s="150">
        <v>454.61</v>
      </c>
      <c r="J28" s="150">
        <v>454.61</v>
      </c>
    </row>
    <row r="33" spans="10:10">
      <c r="J33" s="148"/>
    </row>
    <row r="37" spans="10:10" ht="15.75" thickBot="1">
      <c r="J37" s="153">
        <f>SUM(J21:J31)</f>
        <v>4251.59</v>
      </c>
    </row>
    <row r="38" spans="10:10" ht="15.75" thickTop="1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D5EA6-D334-49A1-99F8-5A0E9EAE7576}">
  <dimension ref="A1:J33"/>
  <sheetViews>
    <sheetView workbookViewId="0">
      <selection activeCell="H35" sqref="H35"/>
    </sheetView>
  </sheetViews>
  <sheetFormatPr defaultRowHeight="15"/>
  <cols>
    <col min="1" max="1" width="12.5703125" bestFit="1" customWidth="1"/>
    <col min="2" max="2" width="12.5703125" customWidth="1"/>
    <col min="3" max="3" width="15" bestFit="1" customWidth="1"/>
    <col min="4" max="4" width="40.28515625" bestFit="1" customWidth="1"/>
    <col min="5" max="5" width="13.5703125" bestFit="1" customWidth="1"/>
    <col min="7" max="10" width="9.28515625" bestFit="1" customWidth="1"/>
    <col min="258" max="258" width="12.5703125" bestFit="1" customWidth="1"/>
    <col min="259" max="259" width="15" bestFit="1" customWidth="1"/>
    <col min="260" max="260" width="40.28515625" bestFit="1" customWidth="1"/>
    <col min="261" max="261" width="13.5703125" bestFit="1" customWidth="1"/>
    <col min="263" max="266" width="9.28515625" bestFit="1" customWidth="1"/>
    <col min="514" max="514" width="12.5703125" bestFit="1" customWidth="1"/>
    <col min="515" max="515" width="15" bestFit="1" customWidth="1"/>
    <col min="516" max="516" width="40.28515625" bestFit="1" customWidth="1"/>
    <col min="517" max="517" width="13.5703125" bestFit="1" customWidth="1"/>
    <col min="519" max="522" width="9.28515625" bestFit="1" customWidth="1"/>
    <col min="770" max="770" width="12.5703125" bestFit="1" customWidth="1"/>
    <col min="771" max="771" width="15" bestFit="1" customWidth="1"/>
    <col min="772" max="772" width="40.28515625" bestFit="1" customWidth="1"/>
    <col min="773" max="773" width="13.5703125" bestFit="1" customWidth="1"/>
    <col min="775" max="778" width="9.28515625" bestFit="1" customWidth="1"/>
    <col min="1026" max="1026" width="12.5703125" bestFit="1" customWidth="1"/>
    <col min="1027" max="1027" width="15" bestFit="1" customWidth="1"/>
    <col min="1028" max="1028" width="40.28515625" bestFit="1" customWidth="1"/>
    <col min="1029" max="1029" width="13.5703125" bestFit="1" customWidth="1"/>
    <col min="1031" max="1034" width="9.28515625" bestFit="1" customWidth="1"/>
    <col min="1282" max="1282" width="12.5703125" bestFit="1" customWidth="1"/>
    <col min="1283" max="1283" width="15" bestFit="1" customWidth="1"/>
    <col min="1284" max="1284" width="40.28515625" bestFit="1" customWidth="1"/>
    <col min="1285" max="1285" width="13.5703125" bestFit="1" customWidth="1"/>
    <col min="1287" max="1290" width="9.28515625" bestFit="1" customWidth="1"/>
    <col min="1538" max="1538" width="12.5703125" bestFit="1" customWidth="1"/>
    <col min="1539" max="1539" width="15" bestFit="1" customWidth="1"/>
    <col min="1540" max="1540" width="40.28515625" bestFit="1" customWidth="1"/>
    <col min="1541" max="1541" width="13.5703125" bestFit="1" customWidth="1"/>
    <col min="1543" max="1546" width="9.28515625" bestFit="1" customWidth="1"/>
    <col min="1794" max="1794" width="12.5703125" bestFit="1" customWidth="1"/>
    <col min="1795" max="1795" width="15" bestFit="1" customWidth="1"/>
    <col min="1796" max="1796" width="40.28515625" bestFit="1" customWidth="1"/>
    <col min="1797" max="1797" width="13.5703125" bestFit="1" customWidth="1"/>
    <col min="1799" max="1802" width="9.28515625" bestFit="1" customWidth="1"/>
    <col min="2050" max="2050" width="12.5703125" bestFit="1" customWidth="1"/>
    <col min="2051" max="2051" width="15" bestFit="1" customWidth="1"/>
    <col min="2052" max="2052" width="40.28515625" bestFit="1" customWidth="1"/>
    <col min="2053" max="2053" width="13.5703125" bestFit="1" customWidth="1"/>
    <col min="2055" max="2058" width="9.28515625" bestFit="1" customWidth="1"/>
    <col min="2306" max="2306" width="12.5703125" bestFit="1" customWidth="1"/>
    <col min="2307" max="2307" width="15" bestFit="1" customWidth="1"/>
    <col min="2308" max="2308" width="40.28515625" bestFit="1" customWidth="1"/>
    <col min="2309" max="2309" width="13.5703125" bestFit="1" customWidth="1"/>
    <col min="2311" max="2314" width="9.28515625" bestFit="1" customWidth="1"/>
    <col min="2562" max="2562" width="12.5703125" bestFit="1" customWidth="1"/>
    <col min="2563" max="2563" width="15" bestFit="1" customWidth="1"/>
    <col min="2564" max="2564" width="40.28515625" bestFit="1" customWidth="1"/>
    <col min="2565" max="2565" width="13.5703125" bestFit="1" customWidth="1"/>
    <col min="2567" max="2570" width="9.28515625" bestFit="1" customWidth="1"/>
    <col min="2818" max="2818" width="12.5703125" bestFit="1" customWidth="1"/>
    <col min="2819" max="2819" width="15" bestFit="1" customWidth="1"/>
    <col min="2820" max="2820" width="40.28515625" bestFit="1" customWidth="1"/>
    <col min="2821" max="2821" width="13.5703125" bestFit="1" customWidth="1"/>
    <col min="2823" max="2826" width="9.28515625" bestFit="1" customWidth="1"/>
    <col min="3074" max="3074" width="12.5703125" bestFit="1" customWidth="1"/>
    <col min="3075" max="3075" width="15" bestFit="1" customWidth="1"/>
    <col min="3076" max="3076" width="40.28515625" bestFit="1" customWidth="1"/>
    <col min="3077" max="3077" width="13.5703125" bestFit="1" customWidth="1"/>
    <col min="3079" max="3082" width="9.28515625" bestFit="1" customWidth="1"/>
    <col min="3330" max="3330" width="12.5703125" bestFit="1" customWidth="1"/>
    <col min="3331" max="3331" width="15" bestFit="1" customWidth="1"/>
    <col min="3332" max="3332" width="40.28515625" bestFit="1" customWidth="1"/>
    <col min="3333" max="3333" width="13.5703125" bestFit="1" customWidth="1"/>
    <col min="3335" max="3338" width="9.28515625" bestFit="1" customWidth="1"/>
    <col min="3586" max="3586" width="12.5703125" bestFit="1" customWidth="1"/>
    <col min="3587" max="3587" width="15" bestFit="1" customWidth="1"/>
    <col min="3588" max="3588" width="40.28515625" bestFit="1" customWidth="1"/>
    <col min="3589" max="3589" width="13.5703125" bestFit="1" customWidth="1"/>
    <col min="3591" max="3594" width="9.28515625" bestFit="1" customWidth="1"/>
    <col min="3842" max="3842" width="12.5703125" bestFit="1" customWidth="1"/>
    <col min="3843" max="3843" width="15" bestFit="1" customWidth="1"/>
    <col min="3844" max="3844" width="40.28515625" bestFit="1" customWidth="1"/>
    <col min="3845" max="3845" width="13.5703125" bestFit="1" customWidth="1"/>
    <col min="3847" max="3850" width="9.28515625" bestFit="1" customWidth="1"/>
    <col min="4098" max="4098" width="12.5703125" bestFit="1" customWidth="1"/>
    <col min="4099" max="4099" width="15" bestFit="1" customWidth="1"/>
    <col min="4100" max="4100" width="40.28515625" bestFit="1" customWidth="1"/>
    <col min="4101" max="4101" width="13.5703125" bestFit="1" customWidth="1"/>
    <col min="4103" max="4106" width="9.28515625" bestFit="1" customWidth="1"/>
    <col min="4354" max="4354" width="12.5703125" bestFit="1" customWidth="1"/>
    <col min="4355" max="4355" width="15" bestFit="1" customWidth="1"/>
    <col min="4356" max="4356" width="40.28515625" bestFit="1" customWidth="1"/>
    <col min="4357" max="4357" width="13.5703125" bestFit="1" customWidth="1"/>
    <col min="4359" max="4362" width="9.28515625" bestFit="1" customWidth="1"/>
    <col min="4610" max="4610" width="12.5703125" bestFit="1" customWidth="1"/>
    <col min="4611" max="4611" width="15" bestFit="1" customWidth="1"/>
    <col min="4612" max="4612" width="40.28515625" bestFit="1" customWidth="1"/>
    <col min="4613" max="4613" width="13.5703125" bestFit="1" customWidth="1"/>
    <col min="4615" max="4618" width="9.28515625" bestFit="1" customWidth="1"/>
    <col min="4866" max="4866" width="12.5703125" bestFit="1" customWidth="1"/>
    <col min="4867" max="4867" width="15" bestFit="1" customWidth="1"/>
    <col min="4868" max="4868" width="40.28515625" bestFit="1" customWidth="1"/>
    <col min="4869" max="4869" width="13.5703125" bestFit="1" customWidth="1"/>
    <col min="4871" max="4874" width="9.28515625" bestFit="1" customWidth="1"/>
    <col min="5122" max="5122" width="12.5703125" bestFit="1" customWidth="1"/>
    <col min="5123" max="5123" width="15" bestFit="1" customWidth="1"/>
    <col min="5124" max="5124" width="40.28515625" bestFit="1" customWidth="1"/>
    <col min="5125" max="5125" width="13.5703125" bestFit="1" customWidth="1"/>
    <col min="5127" max="5130" width="9.28515625" bestFit="1" customWidth="1"/>
    <col min="5378" max="5378" width="12.5703125" bestFit="1" customWidth="1"/>
    <col min="5379" max="5379" width="15" bestFit="1" customWidth="1"/>
    <col min="5380" max="5380" width="40.28515625" bestFit="1" customWidth="1"/>
    <col min="5381" max="5381" width="13.5703125" bestFit="1" customWidth="1"/>
    <col min="5383" max="5386" width="9.28515625" bestFit="1" customWidth="1"/>
    <col min="5634" max="5634" width="12.5703125" bestFit="1" customWidth="1"/>
    <col min="5635" max="5635" width="15" bestFit="1" customWidth="1"/>
    <col min="5636" max="5636" width="40.28515625" bestFit="1" customWidth="1"/>
    <col min="5637" max="5637" width="13.5703125" bestFit="1" customWidth="1"/>
    <col min="5639" max="5642" width="9.28515625" bestFit="1" customWidth="1"/>
    <col min="5890" max="5890" width="12.5703125" bestFit="1" customWidth="1"/>
    <col min="5891" max="5891" width="15" bestFit="1" customWidth="1"/>
    <col min="5892" max="5892" width="40.28515625" bestFit="1" customWidth="1"/>
    <col min="5893" max="5893" width="13.5703125" bestFit="1" customWidth="1"/>
    <col min="5895" max="5898" width="9.28515625" bestFit="1" customWidth="1"/>
    <col min="6146" max="6146" width="12.5703125" bestFit="1" customWidth="1"/>
    <col min="6147" max="6147" width="15" bestFit="1" customWidth="1"/>
    <col min="6148" max="6148" width="40.28515625" bestFit="1" customWidth="1"/>
    <col min="6149" max="6149" width="13.5703125" bestFit="1" customWidth="1"/>
    <col min="6151" max="6154" width="9.28515625" bestFit="1" customWidth="1"/>
    <col min="6402" max="6402" width="12.5703125" bestFit="1" customWidth="1"/>
    <col min="6403" max="6403" width="15" bestFit="1" customWidth="1"/>
    <col min="6404" max="6404" width="40.28515625" bestFit="1" customWidth="1"/>
    <col min="6405" max="6405" width="13.5703125" bestFit="1" customWidth="1"/>
    <col min="6407" max="6410" width="9.28515625" bestFit="1" customWidth="1"/>
    <col min="6658" max="6658" width="12.5703125" bestFit="1" customWidth="1"/>
    <col min="6659" max="6659" width="15" bestFit="1" customWidth="1"/>
    <col min="6660" max="6660" width="40.28515625" bestFit="1" customWidth="1"/>
    <col min="6661" max="6661" width="13.5703125" bestFit="1" customWidth="1"/>
    <col min="6663" max="6666" width="9.28515625" bestFit="1" customWidth="1"/>
    <col min="6914" max="6914" width="12.5703125" bestFit="1" customWidth="1"/>
    <col min="6915" max="6915" width="15" bestFit="1" customWidth="1"/>
    <col min="6916" max="6916" width="40.28515625" bestFit="1" customWidth="1"/>
    <col min="6917" max="6917" width="13.5703125" bestFit="1" customWidth="1"/>
    <col min="6919" max="6922" width="9.28515625" bestFit="1" customWidth="1"/>
    <col min="7170" max="7170" width="12.5703125" bestFit="1" customWidth="1"/>
    <col min="7171" max="7171" width="15" bestFit="1" customWidth="1"/>
    <col min="7172" max="7172" width="40.28515625" bestFit="1" customWidth="1"/>
    <col min="7173" max="7173" width="13.5703125" bestFit="1" customWidth="1"/>
    <col min="7175" max="7178" width="9.28515625" bestFit="1" customWidth="1"/>
    <col min="7426" max="7426" width="12.5703125" bestFit="1" customWidth="1"/>
    <col min="7427" max="7427" width="15" bestFit="1" customWidth="1"/>
    <col min="7428" max="7428" width="40.28515625" bestFit="1" customWidth="1"/>
    <col min="7429" max="7429" width="13.5703125" bestFit="1" customWidth="1"/>
    <col min="7431" max="7434" width="9.28515625" bestFit="1" customWidth="1"/>
    <col min="7682" max="7682" width="12.5703125" bestFit="1" customWidth="1"/>
    <col min="7683" max="7683" width="15" bestFit="1" customWidth="1"/>
    <col min="7684" max="7684" width="40.28515625" bestFit="1" customWidth="1"/>
    <col min="7685" max="7685" width="13.5703125" bestFit="1" customWidth="1"/>
    <col min="7687" max="7690" width="9.28515625" bestFit="1" customWidth="1"/>
    <col min="7938" max="7938" width="12.5703125" bestFit="1" customWidth="1"/>
    <col min="7939" max="7939" width="15" bestFit="1" customWidth="1"/>
    <col min="7940" max="7940" width="40.28515625" bestFit="1" customWidth="1"/>
    <col min="7941" max="7941" width="13.5703125" bestFit="1" customWidth="1"/>
    <col min="7943" max="7946" width="9.28515625" bestFit="1" customWidth="1"/>
    <col min="8194" max="8194" width="12.5703125" bestFit="1" customWidth="1"/>
    <col min="8195" max="8195" width="15" bestFit="1" customWidth="1"/>
    <col min="8196" max="8196" width="40.28515625" bestFit="1" customWidth="1"/>
    <col min="8197" max="8197" width="13.5703125" bestFit="1" customWidth="1"/>
    <col min="8199" max="8202" width="9.28515625" bestFit="1" customWidth="1"/>
    <col min="8450" max="8450" width="12.5703125" bestFit="1" customWidth="1"/>
    <col min="8451" max="8451" width="15" bestFit="1" customWidth="1"/>
    <col min="8452" max="8452" width="40.28515625" bestFit="1" customWidth="1"/>
    <col min="8453" max="8453" width="13.5703125" bestFit="1" customWidth="1"/>
    <col min="8455" max="8458" width="9.28515625" bestFit="1" customWidth="1"/>
    <col min="8706" max="8706" width="12.5703125" bestFit="1" customWidth="1"/>
    <col min="8707" max="8707" width="15" bestFit="1" customWidth="1"/>
    <col min="8708" max="8708" width="40.28515625" bestFit="1" customWidth="1"/>
    <col min="8709" max="8709" width="13.5703125" bestFit="1" customWidth="1"/>
    <col min="8711" max="8714" width="9.28515625" bestFit="1" customWidth="1"/>
    <col min="8962" max="8962" width="12.5703125" bestFit="1" customWidth="1"/>
    <col min="8963" max="8963" width="15" bestFit="1" customWidth="1"/>
    <col min="8964" max="8964" width="40.28515625" bestFit="1" customWidth="1"/>
    <col min="8965" max="8965" width="13.5703125" bestFit="1" customWidth="1"/>
    <col min="8967" max="8970" width="9.28515625" bestFit="1" customWidth="1"/>
    <col min="9218" max="9218" width="12.5703125" bestFit="1" customWidth="1"/>
    <col min="9219" max="9219" width="15" bestFit="1" customWidth="1"/>
    <col min="9220" max="9220" width="40.28515625" bestFit="1" customWidth="1"/>
    <col min="9221" max="9221" width="13.5703125" bestFit="1" customWidth="1"/>
    <col min="9223" max="9226" width="9.28515625" bestFit="1" customWidth="1"/>
    <col min="9474" max="9474" width="12.5703125" bestFit="1" customWidth="1"/>
    <col min="9475" max="9475" width="15" bestFit="1" customWidth="1"/>
    <col min="9476" max="9476" width="40.28515625" bestFit="1" customWidth="1"/>
    <col min="9477" max="9477" width="13.5703125" bestFit="1" customWidth="1"/>
    <col min="9479" max="9482" width="9.28515625" bestFit="1" customWidth="1"/>
    <col min="9730" max="9730" width="12.5703125" bestFit="1" customWidth="1"/>
    <col min="9731" max="9731" width="15" bestFit="1" customWidth="1"/>
    <col min="9732" max="9732" width="40.28515625" bestFit="1" customWidth="1"/>
    <col min="9733" max="9733" width="13.5703125" bestFit="1" customWidth="1"/>
    <col min="9735" max="9738" width="9.28515625" bestFit="1" customWidth="1"/>
    <col min="9986" max="9986" width="12.5703125" bestFit="1" customWidth="1"/>
    <col min="9987" max="9987" width="15" bestFit="1" customWidth="1"/>
    <col min="9988" max="9988" width="40.28515625" bestFit="1" customWidth="1"/>
    <col min="9989" max="9989" width="13.5703125" bestFit="1" customWidth="1"/>
    <col min="9991" max="9994" width="9.28515625" bestFit="1" customWidth="1"/>
    <col min="10242" max="10242" width="12.5703125" bestFit="1" customWidth="1"/>
    <col min="10243" max="10243" width="15" bestFit="1" customWidth="1"/>
    <col min="10244" max="10244" width="40.28515625" bestFit="1" customWidth="1"/>
    <col min="10245" max="10245" width="13.5703125" bestFit="1" customWidth="1"/>
    <col min="10247" max="10250" width="9.28515625" bestFit="1" customWidth="1"/>
    <col min="10498" max="10498" width="12.5703125" bestFit="1" customWidth="1"/>
    <col min="10499" max="10499" width="15" bestFit="1" customWidth="1"/>
    <col min="10500" max="10500" width="40.28515625" bestFit="1" customWidth="1"/>
    <col min="10501" max="10501" width="13.5703125" bestFit="1" customWidth="1"/>
    <col min="10503" max="10506" width="9.28515625" bestFit="1" customWidth="1"/>
    <col min="10754" max="10754" width="12.5703125" bestFit="1" customWidth="1"/>
    <col min="10755" max="10755" width="15" bestFit="1" customWidth="1"/>
    <col min="10756" max="10756" width="40.28515625" bestFit="1" customWidth="1"/>
    <col min="10757" max="10757" width="13.5703125" bestFit="1" customWidth="1"/>
    <col min="10759" max="10762" width="9.28515625" bestFit="1" customWidth="1"/>
    <col min="11010" max="11010" width="12.5703125" bestFit="1" customWidth="1"/>
    <col min="11011" max="11011" width="15" bestFit="1" customWidth="1"/>
    <col min="11012" max="11012" width="40.28515625" bestFit="1" customWidth="1"/>
    <col min="11013" max="11013" width="13.5703125" bestFit="1" customWidth="1"/>
    <col min="11015" max="11018" width="9.28515625" bestFit="1" customWidth="1"/>
    <col min="11266" max="11266" width="12.5703125" bestFit="1" customWidth="1"/>
    <col min="11267" max="11267" width="15" bestFit="1" customWidth="1"/>
    <col min="11268" max="11268" width="40.28515625" bestFit="1" customWidth="1"/>
    <col min="11269" max="11269" width="13.5703125" bestFit="1" customWidth="1"/>
    <col min="11271" max="11274" width="9.28515625" bestFit="1" customWidth="1"/>
    <col min="11522" max="11522" width="12.5703125" bestFit="1" customWidth="1"/>
    <col min="11523" max="11523" width="15" bestFit="1" customWidth="1"/>
    <col min="11524" max="11524" width="40.28515625" bestFit="1" customWidth="1"/>
    <col min="11525" max="11525" width="13.5703125" bestFit="1" customWidth="1"/>
    <col min="11527" max="11530" width="9.28515625" bestFit="1" customWidth="1"/>
    <col min="11778" max="11778" width="12.5703125" bestFit="1" customWidth="1"/>
    <col min="11779" max="11779" width="15" bestFit="1" customWidth="1"/>
    <col min="11780" max="11780" width="40.28515625" bestFit="1" customWidth="1"/>
    <col min="11781" max="11781" width="13.5703125" bestFit="1" customWidth="1"/>
    <col min="11783" max="11786" width="9.28515625" bestFit="1" customWidth="1"/>
    <col min="12034" max="12034" width="12.5703125" bestFit="1" customWidth="1"/>
    <col min="12035" max="12035" width="15" bestFit="1" customWidth="1"/>
    <col min="12036" max="12036" width="40.28515625" bestFit="1" customWidth="1"/>
    <col min="12037" max="12037" width="13.5703125" bestFit="1" customWidth="1"/>
    <col min="12039" max="12042" width="9.28515625" bestFit="1" customWidth="1"/>
    <col min="12290" max="12290" width="12.5703125" bestFit="1" customWidth="1"/>
    <col min="12291" max="12291" width="15" bestFit="1" customWidth="1"/>
    <col min="12292" max="12292" width="40.28515625" bestFit="1" customWidth="1"/>
    <col min="12293" max="12293" width="13.5703125" bestFit="1" customWidth="1"/>
    <col min="12295" max="12298" width="9.28515625" bestFit="1" customWidth="1"/>
    <col min="12546" max="12546" width="12.5703125" bestFit="1" customWidth="1"/>
    <col min="12547" max="12547" width="15" bestFit="1" customWidth="1"/>
    <col min="12548" max="12548" width="40.28515625" bestFit="1" customWidth="1"/>
    <col min="12549" max="12549" width="13.5703125" bestFit="1" customWidth="1"/>
    <col min="12551" max="12554" width="9.28515625" bestFit="1" customWidth="1"/>
    <col min="12802" max="12802" width="12.5703125" bestFit="1" customWidth="1"/>
    <col min="12803" max="12803" width="15" bestFit="1" customWidth="1"/>
    <col min="12804" max="12804" width="40.28515625" bestFit="1" customWidth="1"/>
    <col min="12805" max="12805" width="13.5703125" bestFit="1" customWidth="1"/>
    <col min="12807" max="12810" width="9.28515625" bestFit="1" customWidth="1"/>
    <col min="13058" max="13058" width="12.5703125" bestFit="1" customWidth="1"/>
    <col min="13059" max="13059" width="15" bestFit="1" customWidth="1"/>
    <col min="13060" max="13060" width="40.28515625" bestFit="1" customWidth="1"/>
    <col min="13061" max="13061" width="13.5703125" bestFit="1" customWidth="1"/>
    <col min="13063" max="13066" width="9.28515625" bestFit="1" customWidth="1"/>
    <col min="13314" max="13314" width="12.5703125" bestFit="1" customWidth="1"/>
    <col min="13315" max="13315" width="15" bestFit="1" customWidth="1"/>
    <col min="13316" max="13316" width="40.28515625" bestFit="1" customWidth="1"/>
    <col min="13317" max="13317" width="13.5703125" bestFit="1" customWidth="1"/>
    <col min="13319" max="13322" width="9.28515625" bestFit="1" customWidth="1"/>
    <col min="13570" max="13570" width="12.5703125" bestFit="1" customWidth="1"/>
    <col min="13571" max="13571" width="15" bestFit="1" customWidth="1"/>
    <col min="13572" max="13572" width="40.28515625" bestFit="1" customWidth="1"/>
    <col min="13573" max="13573" width="13.5703125" bestFit="1" customWidth="1"/>
    <col min="13575" max="13578" width="9.28515625" bestFit="1" customWidth="1"/>
    <col min="13826" max="13826" width="12.5703125" bestFit="1" customWidth="1"/>
    <col min="13827" max="13827" width="15" bestFit="1" customWidth="1"/>
    <col min="13828" max="13828" width="40.28515625" bestFit="1" customWidth="1"/>
    <col min="13829" max="13829" width="13.5703125" bestFit="1" customWidth="1"/>
    <col min="13831" max="13834" width="9.28515625" bestFit="1" customWidth="1"/>
    <col min="14082" max="14082" width="12.5703125" bestFit="1" customWidth="1"/>
    <col min="14083" max="14083" width="15" bestFit="1" customWidth="1"/>
    <col min="14084" max="14084" width="40.28515625" bestFit="1" customWidth="1"/>
    <col min="14085" max="14085" width="13.5703125" bestFit="1" customWidth="1"/>
    <col min="14087" max="14090" width="9.28515625" bestFit="1" customWidth="1"/>
    <col min="14338" max="14338" width="12.5703125" bestFit="1" customWidth="1"/>
    <col min="14339" max="14339" width="15" bestFit="1" customWidth="1"/>
    <col min="14340" max="14340" width="40.28515625" bestFit="1" customWidth="1"/>
    <col min="14341" max="14341" width="13.5703125" bestFit="1" customWidth="1"/>
    <col min="14343" max="14346" width="9.28515625" bestFit="1" customWidth="1"/>
    <col min="14594" max="14594" width="12.5703125" bestFit="1" customWidth="1"/>
    <col min="14595" max="14595" width="15" bestFit="1" customWidth="1"/>
    <col min="14596" max="14596" width="40.28515625" bestFit="1" customWidth="1"/>
    <col min="14597" max="14597" width="13.5703125" bestFit="1" customWidth="1"/>
    <col min="14599" max="14602" width="9.28515625" bestFit="1" customWidth="1"/>
    <col min="14850" max="14850" width="12.5703125" bestFit="1" customWidth="1"/>
    <col min="14851" max="14851" width="15" bestFit="1" customWidth="1"/>
    <col min="14852" max="14852" width="40.28515625" bestFit="1" customWidth="1"/>
    <col min="14853" max="14853" width="13.5703125" bestFit="1" customWidth="1"/>
    <col min="14855" max="14858" width="9.28515625" bestFit="1" customWidth="1"/>
    <col min="15106" max="15106" width="12.5703125" bestFit="1" customWidth="1"/>
    <col min="15107" max="15107" width="15" bestFit="1" customWidth="1"/>
    <col min="15108" max="15108" width="40.28515625" bestFit="1" customWidth="1"/>
    <col min="15109" max="15109" width="13.5703125" bestFit="1" customWidth="1"/>
    <col min="15111" max="15114" width="9.28515625" bestFit="1" customWidth="1"/>
    <col min="15362" max="15362" width="12.5703125" bestFit="1" customWidth="1"/>
    <col min="15363" max="15363" width="15" bestFit="1" customWidth="1"/>
    <col min="15364" max="15364" width="40.28515625" bestFit="1" customWidth="1"/>
    <col min="15365" max="15365" width="13.5703125" bestFit="1" customWidth="1"/>
    <col min="15367" max="15370" width="9.28515625" bestFit="1" customWidth="1"/>
    <col min="15618" max="15618" width="12.5703125" bestFit="1" customWidth="1"/>
    <col min="15619" max="15619" width="15" bestFit="1" customWidth="1"/>
    <col min="15620" max="15620" width="40.28515625" bestFit="1" customWidth="1"/>
    <col min="15621" max="15621" width="13.5703125" bestFit="1" customWidth="1"/>
    <col min="15623" max="15626" width="9.28515625" bestFit="1" customWidth="1"/>
    <col min="15874" max="15874" width="12.5703125" bestFit="1" customWidth="1"/>
    <col min="15875" max="15875" width="15" bestFit="1" customWidth="1"/>
    <col min="15876" max="15876" width="40.28515625" bestFit="1" customWidth="1"/>
    <col min="15877" max="15877" width="13.5703125" bestFit="1" customWidth="1"/>
    <col min="15879" max="15882" width="9.28515625" bestFit="1" customWidth="1"/>
    <col min="16130" max="16130" width="12.5703125" bestFit="1" customWidth="1"/>
    <col min="16131" max="16131" width="15" bestFit="1" customWidth="1"/>
    <col min="16132" max="16132" width="40.28515625" bestFit="1" customWidth="1"/>
    <col min="16133" max="16133" width="13.5703125" bestFit="1" customWidth="1"/>
    <col min="16135" max="16138" width="9.28515625" bestFit="1" customWidth="1"/>
  </cols>
  <sheetData>
    <row r="1" spans="1:10" s="148" customFormat="1">
      <c r="A1" s="152" t="s">
        <v>1181</v>
      </c>
      <c r="B1" s="149"/>
      <c r="G1" s="150"/>
      <c r="H1" s="150"/>
      <c r="I1" s="150"/>
      <c r="J1" s="150"/>
    </row>
    <row r="2" spans="1:10" s="148" customFormat="1">
      <c r="A2" s="149" t="s">
        <v>228</v>
      </c>
      <c r="B2" s="154" t="s">
        <v>856</v>
      </c>
      <c r="C2" s="148" t="s">
        <v>859</v>
      </c>
      <c r="D2" s="148" t="s">
        <v>860</v>
      </c>
      <c r="E2" s="148" t="s">
        <v>861</v>
      </c>
      <c r="F2" s="148" t="s">
        <v>862</v>
      </c>
      <c r="G2" s="150" t="s">
        <v>863</v>
      </c>
      <c r="H2" s="150" t="s">
        <v>864</v>
      </c>
      <c r="I2" s="150" t="s">
        <v>29</v>
      </c>
      <c r="J2" s="150" t="s">
        <v>865</v>
      </c>
    </row>
    <row r="16" spans="1:10" ht="15.75" thickBot="1">
      <c r="J16" s="153">
        <f>SUM(J3:J15)</f>
        <v>0</v>
      </c>
    </row>
    <row r="17" spans="1:10" ht="15.75" thickTop="1"/>
    <row r="21" spans="1:10" s="148" customFormat="1">
      <c r="A21" s="152" t="s">
        <v>1184</v>
      </c>
      <c r="B21" s="152"/>
      <c r="G21" s="150"/>
      <c r="H21" s="150"/>
      <c r="I21" s="150"/>
      <c r="J21" s="150"/>
    </row>
    <row r="22" spans="1:10" s="148" customFormat="1">
      <c r="A22" s="149" t="s">
        <v>228</v>
      </c>
      <c r="B22" s="154" t="s">
        <v>856</v>
      </c>
      <c r="C22" s="148" t="s">
        <v>859</v>
      </c>
      <c r="D22" s="148" t="s">
        <v>860</v>
      </c>
      <c r="E22" s="148" t="s">
        <v>861</v>
      </c>
      <c r="F22" s="148" t="s">
        <v>862</v>
      </c>
      <c r="G22" s="150" t="s">
        <v>863</v>
      </c>
      <c r="H22" s="150" t="s">
        <v>864</v>
      </c>
      <c r="I22" s="150" t="s">
        <v>29</v>
      </c>
      <c r="J22" s="150" t="s">
        <v>865</v>
      </c>
    </row>
    <row r="32" spans="1:10" ht="15.75" thickBot="1">
      <c r="J32" s="153">
        <f>SUM(J23:J30)</f>
        <v>0</v>
      </c>
    </row>
    <row r="33" ht="15.7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2024</vt:lpstr>
      <vt:lpstr>MITS 2023</vt:lpstr>
      <vt:lpstr>MITS 2024</vt:lpstr>
      <vt:lpstr>HINO 2024</vt:lpstr>
      <vt:lpstr>FUSO 2024</vt:lpstr>
      <vt:lpstr>FUSO WC 2024</vt:lpstr>
      <vt:lpstr>2025</vt:lpstr>
      <vt:lpstr>2026</vt:lpstr>
      <vt:lpstr>MITSUBISHI MEETING</vt:lpstr>
      <vt:lpstr>HINO 2025</vt:lpstr>
      <vt:lpstr>SERVICE 2026</vt:lpstr>
      <vt:lpstr>HINO 2026</vt:lpstr>
      <vt:lpstr>MITS 2025</vt:lpstr>
      <vt:lpstr>MITS 2026</vt:lpstr>
      <vt:lpstr>FUSO 2025</vt:lpstr>
      <vt:lpstr>FUSO 2026</vt:lpstr>
      <vt:lpstr>FUSO WC 2025</vt:lpstr>
      <vt:lpstr>FUSO WC 2026</vt:lpstr>
      <vt:lpstr>'2024'!Print_Area</vt:lpstr>
      <vt:lpstr>'2025'!Print_Area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Auto Raya</cp:lastModifiedBy>
  <cp:lastPrinted>2025-11-07T08:01:25Z</cp:lastPrinted>
  <dcterms:created xsi:type="dcterms:W3CDTF">2025-01-31T08:58:22Z</dcterms:created>
  <dcterms:modified xsi:type="dcterms:W3CDTF">2026-10-03T01:29:16Z</dcterms:modified>
</cp:coreProperties>
</file>